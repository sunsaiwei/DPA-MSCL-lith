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ycharmWorkSpace\DPA-MSCL-litho\dataset\"/>
    </mc:Choice>
  </mc:AlternateContent>
  <xr:revisionPtr revIDLastSave="0" documentId="13_ncr:1_{556CB32C-EBAC-4DBA-AEEC-9606BCC8CE98}" xr6:coauthVersionLast="47" xr6:coauthVersionMax="47" xr10:uidLastSave="{00000000-0000-0000-0000-000000000000}"/>
  <bookViews>
    <workbookView xWindow="-120" yWindow="-120" windowWidth="38640" windowHeight="21120" xr2:uid="{4D7F8A21-6904-445D-99F4-2BA1629794AF}"/>
  </bookViews>
  <sheets>
    <sheet name="大庆" sheetId="1" r:id="rId1"/>
  </sheets>
  <calcPr calcId="191029"/>
</workbook>
</file>

<file path=xl/calcChain.xml><?xml version="1.0" encoding="utf-8"?>
<calcChain xmlns="http://schemas.openxmlformats.org/spreadsheetml/2006/main">
  <c r="S10" i="1" l="1"/>
  <c r="S6" i="1"/>
  <c r="S7" i="1"/>
  <c r="S8" i="1"/>
  <c r="S9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" i="1"/>
  <c r="S4" i="1"/>
  <c r="S5" i="1"/>
  <c r="S2" i="1"/>
</calcChain>
</file>

<file path=xl/sharedStrings.xml><?xml version="1.0" encoding="utf-8"?>
<sst xmlns="http://schemas.openxmlformats.org/spreadsheetml/2006/main" count="1087" uniqueCount="36">
  <si>
    <t>井</t>
  </si>
  <si>
    <t>顶深</t>
  </si>
  <si>
    <t>底深</t>
  </si>
  <si>
    <t>SP</t>
  </si>
  <si>
    <t>PE</t>
  </si>
  <si>
    <t>GR</t>
  </si>
  <si>
    <t>AT10</t>
  </si>
  <si>
    <t>AT20</t>
  </si>
  <si>
    <t>AT30</t>
  </si>
  <si>
    <t>AT60</t>
  </si>
  <si>
    <t>AT90</t>
  </si>
  <si>
    <t>AC</t>
  </si>
  <si>
    <t>CNL</t>
  </si>
  <si>
    <t>DEN</t>
  </si>
  <si>
    <t>POR_index</t>
  </si>
  <si>
    <t>Ish</t>
  </si>
  <si>
    <t>ID(地质分层)</t>
  </si>
  <si>
    <t>LITH</t>
  </si>
  <si>
    <t>乐11</t>
  </si>
  <si>
    <t>chang7</t>
  </si>
  <si>
    <t>暗色泥岩</t>
  </si>
  <si>
    <t>非均质砂岩</t>
  </si>
  <si>
    <t>粉砂质泥岩</t>
  </si>
  <si>
    <t>均质砂岩</t>
  </si>
  <si>
    <t>凝灰岩</t>
  </si>
  <si>
    <t>黑色页岩</t>
  </si>
  <si>
    <t>乐13</t>
  </si>
  <si>
    <t>乐15</t>
  </si>
  <si>
    <t>乐34</t>
  </si>
  <si>
    <t>乐43</t>
  </si>
  <si>
    <t>乐44</t>
  </si>
  <si>
    <t>乐49</t>
  </si>
  <si>
    <t>乐55</t>
  </si>
  <si>
    <t>乐60</t>
  </si>
  <si>
    <t>乐97</t>
  </si>
  <si>
    <t>Face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</si>
</sst>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886F-0025-494E-BF43-E3E4E7C34916}">
  <dimension ref="A1:S357"/>
  <sheetViews>
    <sheetView tabSelected="1" topLeftCell="A81" workbookViewId="0">
      <selection activeCell="A358" sqref="A358:A400"/>
    </sheetView>
  </sheetViews>
  <sheetFormatPr defaultRowHeight="14.2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35</v>
      </c>
    </row>
    <row r="2" spans="1:19" x14ac:dyDescent="0.2">
      <c r="A2" t="s">
        <v>18</v>
      </c>
      <c r="B2">
        <v>1500.3634</v>
      </c>
      <c r="C2">
        <v>1501.2111</v>
      </c>
      <c r="D2">
        <v>50.861010069999999</v>
      </c>
      <c r="E2">
        <v>2.8844385739999998</v>
      </c>
      <c r="F2">
        <v>133.37408260000001</v>
      </c>
      <c r="G2">
        <v>15.268344880000001</v>
      </c>
      <c r="H2">
        <v>16.17434776</v>
      </c>
      <c r="I2">
        <v>15.717564230000001</v>
      </c>
      <c r="J2">
        <v>15.950291160000001</v>
      </c>
      <c r="K2">
        <v>16.433830140000001</v>
      </c>
      <c r="L2">
        <v>237.4775143</v>
      </c>
      <c r="M2">
        <v>20.641690730000001</v>
      </c>
      <c r="N2">
        <v>2.6469111440000002</v>
      </c>
      <c r="O2">
        <v>-0.18174738600000001</v>
      </c>
      <c r="P2">
        <v>0.41687041499999999</v>
      </c>
      <c r="Q2" t="s">
        <v>19</v>
      </c>
      <c r="R2" t="s">
        <v>20</v>
      </c>
      <c r="S2">
        <f>IF(R2="粉砂质泥岩",0,IF(R2="暗色泥岩",1,IF(R2="非均质砂岩",2,IF(R2="均质砂岩",3,IF(R2="黑色页岩",4,IF(R2="凝灰岩",5,""))))))</f>
        <v>1</v>
      </c>
    </row>
    <row r="3" spans="1:19" x14ac:dyDescent="0.2">
      <c r="A3" t="s">
        <v>18</v>
      </c>
      <c r="B3">
        <v>1501.2111</v>
      </c>
      <c r="C3">
        <v>1509.5473999999999</v>
      </c>
      <c r="D3">
        <v>46.163831989999998</v>
      </c>
      <c r="E3">
        <v>2.8101764500000002</v>
      </c>
      <c r="F3">
        <v>102.0935034</v>
      </c>
      <c r="G3">
        <v>23.489743600000001</v>
      </c>
      <c r="H3">
        <v>25.96010163</v>
      </c>
      <c r="I3">
        <v>25.937900540000001</v>
      </c>
      <c r="J3">
        <v>26.149553860000001</v>
      </c>
      <c r="K3">
        <v>27.155017740000002</v>
      </c>
      <c r="L3">
        <v>231.59538989999999</v>
      </c>
      <c r="M3">
        <v>16.108367770000001</v>
      </c>
      <c r="N3">
        <v>2.6012218279999999</v>
      </c>
      <c r="O3">
        <v>-6.0898841000000002E-2</v>
      </c>
      <c r="P3">
        <v>0.26046751699999998</v>
      </c>
      <c r="Q3" t="s">
        <v>19</v>
      </c>
      <c r="R3" t="s">
        <v>21</v>
      </c>
      <c r="S3">
        <f>IF(R3="粉砂质泥岩",0,IF(R3="暗色泥岩",1,IF(R3="非均质砂岩",2,IF(R3="均质砂岩",3,IF(R3="黑色页岩",4,IF(R3="凝灰岩",5,""))))))</f>
        <v>2</v>
      </c>
    </row>
    <row r="4" spans="1:19" x14ac:dyDescent="0.2">
      <c r="A4" t="s">
        <v>18</v>
      </c>
      <c r="B4">
        <v>1509.5473999999999</v>
      </c>
      <c r="C4">
        <v>1512.5154</v>
      </c>
      <c r="D4">
        <v>47.449405210000002</v>
      </c>
      <c r="E4">
        <v>3.1864942169999999</v>
      </c>
      <c r="F4">
        <v>191.70790890000001</v>
      </c>
      <c r="G4">
        <v>22.370429309999999</v>
      </c>
      <c r="H4">
        <v>24.169691239999999</v>
      </c>
      <c r="I4">
        <v>24.668477939999999</v>
      </c>
      <c r="J4">
        <v>24.958103099999999</v>
      </c>
      <c r="K4">
        <v>26.320707169999999</v>
      </c>
      <c r="L4">
        <v>275.61510800000002</v>
      </c>
      <c r="M4">
        <v>27.48355484</v>
      </c>
      <c r="N4">
        <v>2.5396536730000001</v>
      </c>
      <c r="O4">
        <v>-0.20073737899999999</v>
      </c>
      <c r="P4">
        <v>0.70853955000000002</v>
      </c>
      <c r="Q4" t="s">
        <v>19</v>
      </c>
      <c r="R4" t="s">
        <v>20</v>
      </c>
      <c r="S4">
        <f>IF(R4="粉砂质泥岩",0,IF(R4="暗色泥岩",1,IF(R4="非均质砂岩",2,IF(R4="均质砂岩",3,IF(R4="黑色页岩",4,IF(R4="凝灰岩",5,""))))))</f>
        <v>1</v>
      </c>
    </row>
    <row r="5" spans="1:19" x14ac:dyDescent="0.2">
      <c r="A5" t="s">
        <v>18</v>
      </c>
      <c r="B5">
        <v>1512.5154</v>
      </c>
      <c r="C5">
        <v>1515.5438999999999</v>
      </c>
      <c r="D5">
        <v>42.556989590000001</v>
      </c>
      <c r="E5">
        <v>2.6460034750000001</v>
      </c>
      <c r="F5">
        <v>90.260809629999997</v>
      </c>
      <c r="G5">
        <v>30.897084580000001</v>
      </c>
      <c r="H5">
        <v>38.96893867</v>
      </c>
      <c r="I5">
        <v>38.413183590000003</v>
      </c>
      <c r="J5">
        <v>38.648042680000003</v>
      </c>
      <c r="K5">
        <v>40.580064010000001</v>
      </c>
      <c r="L5">
        <v>231.28216979999999</v>
      </c>
      <c r="M5">
        <v>15.1576009</v>
      </c>
      <c r="N5">
        <v>2.554865704</v>
      </c>
      <c r="O5">
        <v>-4.9441441000000003E-2</v>
      </c>
      <c r="P5">
        <v>0.20130404700000001</v>
      </c>
      <c r="Q5" t="s">
        <v>19</v>
      </c>
      <c r="R5" t="s">
        <v>21</v>
      </c>
      <c r="S5">
        <f>IF(R5="粉砂质泥岩",0,IF(R5="暗色泥岩",1,IF(R5="非均质砂岩",2,IF(R5="均质砂岩",3,IF(R5="黑色页岩",4,IF(R5="凝灰岩",5,""))))))</f>
        <v>2</v>
      </c>
    </row>
    <row r="6" spans="1:19" x14ac:dyDescent="0.2">
      <c r="A6" t="s">
        <v>18</v>
      </c>
      <c r="B6">
        <v>1515.5438999999999</v>
      </c>
      <c r="C6">
        <v>1516.3662999999999</v>
      </c>
      <c r="D6">
        <v>41.151223659999999</v>
      </c>
      <c r="E6">
        <v>2.6376738550000001</v>
      </c>
      <c r="F6">
        <v>112.88546940000001</v>
      </c>
      <c r="G6">
        <v>24.440142869999999</v>
      </c>
      <c r="H6">
        <v>30.305250640000001</v>
      </c>
      <c r="I6">
        <v>31.29934621</v>
      </c>
      <c r="J6">
        <v>31.32911777</v>
      </c>
      <c r="K6">
        <v>33.004836079999997</v>
      </c>
      <c r="L6">
        <v>237.82900430000001</v>
      </c>
      <c r="M6">
        <v>18.688233610000001</v>
      </c>
      <c r="N6">
        <v>2.561426371</v>
      </c>
      <c r="O6">
        <v>-9.6339221000000003E-2</v>
      </c>
      <c r="P6">
        <v>0.314427344</v>
      </c>
      <c r="Q6" t="s">
        <v>19</v>
      </c>
      <c r="R6" t="s">
        <v>22</v>
      </c>
      <c r="S6">
        <f>IF(R6="粉砂质泥岩",0,IF(R6="暗色泥岩",1,IF(R6="非均质砂岩",2,IF(R6="均质砂岩",3,IF(R6="黑色页岩",4,IF(R6="凝灰岩",5,""))))))</f>
        <v>0</v>
      </c>
    </row>
    <row r="7" spans="1:19" x14ac:dyDescent="0.2">
      <c r="A7" t="s">
        <v>18</v>
      </c>
      <c r="B7">
        <v>1516.3662999999999</v>
      </c>
      <c r="C7">
        <v>1517.1288</v>
      </c>
      <c r="D7">
        <v>41.104064399999999</v>
      </c>
      <c r="E7">
        <v>2.6694290980000002</v>
      </c>
      <c r="F7">
        <v>94.290019439999995</v>
      </c>
      <c r="G7">
        <v>35.208801000000001</v>
      </c>
      <c r="H7">
        <v>38.463133679999999</v>
      </c>
      <c r="I7">
        <v>39.163393290000002</v>
      </c>
      <c r="J7">
        <v>39.396900180000003</v>
      </c>
      <c r="K7">
        <v>41.442276550000003</v>
      </c>
      <c r="L7">
        <v>237.8125153</v>
      </c>
      <c r="M7">
        <v>15.39426531</v>
      </c>
      <c r="N7">
        <v>2.5656055719999999</v>
      </c>
      <c r="O7">
        <v>-8.8154785999999999E-2</v>
      </c>
      <c r="P7">
        <v>0.22145009900000001</v>
      </c>
      <c r="Q7" t="s">
        <v>19</v>
      </c>
      <c r="R7" t="s">
        <v>21</v>
      </c>
      <c r="S7">
        <f>IF(R7="粉砂质泥岩",0,IF(R7="暗色泥岩",1,IF(R7="非均质砂岩",2,IF(R7="均质砂岩",3,IF(R7="黑色页岩",4,IF(R7="凝灰岩",5,""))))))</f>
        <v>2</v>
      </c>
    </row>
    <row r="8" spans="1:19" x14ac:dyDescent="0.2">
      <c r="A8" t="s">
        <v>18</v>
      </c>
      <c r="B8">
        <v>1517.1288</v>
      </c>
      <c r="C8">
        <v>1518.0083999999999</v>
      </c>
      <c r="D8">
        <v>41.844555849999999</v>
      </c>
      <c r="E8">
        <v>2.7673232259999998</v>
      </c>
      <c r="F8">
        <v>138.61576650000001</v>
      </c>
      <c r="G8">
        <v>20.607135299999999</v>
      </c>
      <c r="H8">
        <v>28.08675671</v>
      </c>
      <c r="I8">
        <v>28.83481359</v>
      </c>
      <c r="J8">
        <v>29.00038004</v>
      </c>
      <c r="K8">
        <v>31.01127434</v>
      </c>
      <c r="L8">
        <v>246.57229040000001</v>
      </c>
      <c r="M8">
        <v>20.791691060000002</v>
      </c>
      <c r="N8">
        <v>2.5954504909999998</v>
      </c>
      <c r="O8">
        <v>-0.162206237</v>
      </c>
      <c r="P8">
        <v>0.44307883100000001</v>
      </c>
      <c r="Q8" t="s">
        <v>19</v>
      </c>
      <c r="R8" t="s">
        <v>20</v>
      </c>
      <c r="S8">
        <f>IF(R8="粉砂质泥岩",0,IF(R8="暗色泥岩",1,IF(R8="非均质砂岩",2,IF(R8="均质砂岩",3,IF(R8="黑色页岩",4,IF(R8="凝灰岩",5,""))))))</f>
        <v>1</v>
      </c>
    </row>
    <row r="9" spans="1:19" x14ac:dyDescent="0.2">
      <c r="A9" t="s">
        <v>18</v>
      </c>
      <c r="B9">
        <v>1518.0083999999999</v>
      </c>
      <c r="C9">
        <v>1520.8884</v>
      </c>
      <c r="D9">
        <v>41.167945699999997</v>
      </c>
      <c r="E9">
        <v>2.681527843</v>
      </c>
      <c r="F9">
        <v>87.981752080000007</v>
      </c>
      <c r="G9">
        <v>28.850375140000001</v>
      </c>
      <c r="H9">
        <v>32.56745179</v>
      </c>
      <c r="I9">
        <v>32.371361489999998</v>
      </c>
      <c r="J9">
        <v>32.733967149999998</v>
      </c>
      <c r="K9">
        <v>34.068075020000002</v>
      </c>
      <c r="L9">
        <v>231.97033060000001</v>
      </c>
      <c r="M9">
        <v>14.241674420000001</v>
      </c>
      <c r="N9">
        <v>2.55175661</v>
      </c>
      <c r="O9">
        <v>-4.0420975999999997E-2</v>
      </c>
      <c r="P9">
        <v>0.18990875900000001</v>
      </c>
      <c r="Q9" t="s">
        <v>19</v>
      </c>
      <c r="R9" t="s">
        <v>21</v>
      </c>
      <c r="S9">
        <f>IF(R9="粉砂质泥岩",0,IF(R9="暗色泥岩",1,IF(R9="非均质砂岩",2,IF(R9="均质砂岩",3,IF(R9="黑色页岩",4,IF(R9="凝灰岩",5,""))))))</f>
        <v>2</v>
      </c>
    </row>
    <row r="10" spans="1:19" x14ac:dyDescent="0.2">
      <c r="A10" t="s">
        <v>18</v>
      </c>
      <c r="B10">
        <v>1520.8884</v>
      </c>
      <c r="C10">
        <v>1521.7334000000001</v>
      </c>
      <c r="D10">
        <v>43.303409100000003</v>
      </c>
      <c r="E10">
        <v>2.9021841290000001</v>
      </c>
      <c r="F10">
        <v>111.28682139999999</v>
      </c>
      <c r="G10">
        <v>27.670087809999998</v>
      </c>
      <c r="H10">
        <v>29.52553606</v>
      </c>
      <c r="I10">
        <v>29.514157059999999</v>
      </c>
      <c r="J10">
        <v>29.696335550000001</v>
      </c>
      <c r="K10">
        <v>30.66278625</v>
      </c>
      <c r="L10">
        <v>232.61437989999999</v>
      </c>
      <c r="M10">
        <v>17.952086449999999</v>
      </c>
      <c r="N10">
        <v>2.6156403720000001</v>
      </c>
      <c r="O10">
        <v>-8.6024764000000004E-2</v>
      </c>
      <c r="P10">
        <v>0.30643410399999998</v>
      </c>
      <c r="Q10" t="s">
        <v>19</v>
      </c>
      <c r="R10" t="s">
        <v>22</v>
      </c>
      <c r="S10">
        <f>IF(R10="粉砂质泥岩",0,IF(R10="暗色泥岩",1,IF(R10="非均质砂岩",2,IF(R10="均质砂岩",3,IF(R10="黑色页岩",4,IF(R10="凝灰岩",5,""))))))</f>
        <v>0</v>
      </c>
    </row>
    <row r="11" spans="1:19" x14ac:dyDescent="0.2">
      <c r="A11" t="s">
        <v>18</v>
      </c>
      <c r="B11">
        <v>1521.7334000000001</v>
      </c>
      <c r="C11">
        <v>1534.9858999999999</v>
      </c>
      <c r="D11">
        <v>43.63425307</v>
      </c>
      <c r="E11">
        <v>2.7348393299999998</v>
      </c>
      <c r="F11">
        <v>87.811838449999996</v>
      </c>
      <c r="G11">
        <v>32.136424679999998</v>
      </c>
      <c r="H11">
        <v>34.652586450000001</v>
      </c>
      <c r="I11">
        <v>33.930628130000002</v>
      </c>
      <c r="J11">
        <v>34.162844309999997</v>
      </c>
      <c r="K11">
        <v>35.3453734</v>
      </c>
      <c r="L11">
        <v>228.7552312</v>
      </c>
      <c r="M11">
        <v>13.222671739999999</v>
      </c>
      <c r="N11">
        <v>2.579781047</v>
      </c>
      <c r="O11">
        <v>-3.8305528999999998E-2</v>
      </c>
      <c r="P11">
        <v>0.18905919199999999</v>
      </c>
      <c r="Q11" t="s">
        <v>19</v>
      </c>
      <c r="R11" t="s">
        <v>21</v>
      </c>
      <c r="S11">
        <f>IF(R11="粉砂质泥岩",0,IF(R11="暗色泥岩",1,IF(R11="非均质砂岩",2,IF(R11="均质砂岩",3,IF(R11="黑色页岩",4,IF(R11="凝灰岩",5,""))))))</f>
        <v>2</v>
      </c>
    </row>
    <row r="12" spans="1:19" x14ac:dyDescent="0.2">
      <c r="A12" t="s">
        <v>18</v>
      </c>
      <c r="B12">
        <v>1534.9858999999999</v>
      </c>
      <c r="C12">
        <v>1536.7030999999999</v>
      </c>
      <c r="D12">
        <v>49.529851790000002</v>
      </c>
      <c r="E12">
        <v>3.0559286910000001</v>
      </c>
      <c r="F12">
        <v>161.22548320000001</v>
      </c>
      <c r="G12">
        <v>28.78258769</v>
      </c>
      <c r="H12">
        <v>33.183922580000001</v>
      </c>
      <c r="I12">
        <v>31.390706130000002</v>
      </c>
      <c r="J12">
        <v>30.974578350000002</v>
      </c>
      <c r="K12">
        <v>31.926366680000001</v>
      </c>
      <c r="L12">
        <v>250.76014000000001</v>
      </c>
      <c r="M12">
        <v>21.88330358</v>
      </c>
      <c r="N12">
        <v>2.5591949619999999</v>
      </c>
      <c r="O12">
        <v>-0.18408776199999999</v>
      </c>
      <c r="P12">
        <v>0.55612741399999999</v>
      </c>
      <c r="Q12" t="s">
        <v>19</v>
      </c>
      <c r="R12" t="s">
        <v>20</v>
      </c>
      <c r="S12">
        <f>IF(R12="粉砂质泥岩",0,IF(R12="暗色泥岩",1,IF(R12="非均质砂岩",2,IF(R12="均质砂岩",3,IF(R12="黑色页岩",4,IF(R12="凝灰岩",5,""))))))</f>
        <v>1</v>
      </c>
    </row>
    <row r="13" spans="1:19" x14ac:dyDescent="0.2">
      <c r="A13" t="s">
        <v>18</v>
      </c>
      <c r="B13">
        <v>1536.7030999999999</v>
      </c>
      <c r="C13">
        <v>1538.8435999999999</v>
      </c>
      <c r="D13">
        <v>50.820783830000003</v>
      </c>
      <c r="E13">
        <v>2.7911647820000001</v>
      </c>
      <c r="F13">
        <v>110.8328968</v>
      </c>
      <c r="G13">
        <v>21.124859969999999</v>
      </c>
      <c r="H13">
        <v>24.70144161</v>
      </c>
      <c r="I13">
        <v>24.93362617</v>
      </c>
      <c r="J13">
        <v>25.98947472</v>
      </c>
      <c r="K13">
        <v>27.742872500000001</v>
      </c>
      <c r="L13">
        <v>234.9075182</v>
      </c>
      <c r="M13">
        <v>16.999631300000001</v>
      </c>
      <c r="N13">
        <v>2.5579925509999999</v>
      </c>
      <c r="O13">
        <v>-9.4303546000000002E-2</v>
      </c>
      <c r="P13">
        <v>0.30416448600000001</v>
      </c>
      <c r="Q13" t="s">
        <v>19</v>
      </c>
      <c r="R13" t="s">
        <v>22</v>
      </c>
      <c r="S13">
        <f>IF(R13="粉砂质泥岩",0,IF(R13="暗色泥岩",1,IF(R13="非均质砂岩",2,IF(R13="均质砂岩",3,IF(R13="黑色页岩",4,IF(R13="凝灰岩",5,""))))))</f>
        <v>0</v>
      </c>
    </row>
    <row r="14" spans="1:19" x14ac:dyDescent="0.2">
      <c r="A14" t="s">
        <v>18</v>
      </c>
      <c r="B14">
        <v>1538.8435999999999</v>
      </c>
      <c r="C14">
        <v>1540.5813000000001</v>
      </c>
      <c r="D14">
        <v>50.357380929999998</v>
      </c>
      <c r="E14">
        <v>2.6762649380000001</v>
      </c>
      <c r="F14">
        <v>81.625175979999995</v>
      </c>
      <c r="G14">
        <v>42.775293099999999</v>
      </c>
      <c r="H14">
        <v>46.835983280000001</v>
      </c>
      <c r="I14">
        <v>45.173111720000001</v>
      </c>
      <c r="J14">
        <v>45.383810930000003</v>
      </c>
      <c r="K14">
        <v>46.52171783</v>
      </c>
      <c r="L14">
        <v>232.02579549999999</v>
      </c>
      <c r="M14">
        <v>14.92474721</v>
      </c>
      <c r="N14">
        <v>2.5276476859999999</v>
      </c>
      <c r="O14">
        <v>-1.6690908000000001E-2</v>
      </c>
      <c r="P14">
        <v>0.158125879</v>
      </c>
      <c r="Q14" t="s">
        <v>19</v>
      </c>
      <c r="R14" t="s">
        <v>23</v>
      </c>
      <c r="S14">
        <f>IF(R14="粉砂质泥岩",0,IF(R14="暗色泥岩",1,IF(R14="非均质砂岩",2,IF(R14="均质砂岩",3,IF(R14="黑色页岩",4,IF(R14="凝灰岩",5,""))))))</f>
        <v>3</v>
      </c>
    </row>
    <row r="15" spans="1:19" x14ac:dyDescent="0.2">
      <c r="A15" t="s">
        <v>18</v>
      </c>
      <c r="B15">
        <v>1540.5813000000001</v>
      </c>
      <c r="C15">
        <v>1550.3598</v>
      </c>
      <c r="D15">
        <v>47.962837460000003</v>
      </c>
      <c r="E15">
        <v>2.677871943</v>
      </c>
      <c r="F15">
        <v>90.97983619</v>
      </c>
      <c r="G15">
        <v>28.52643385</v>
      </c>
      <c r="H15">
        <v>31.380482010000001</v>
      </c>
      <c r="I15">
        <v>30.785150210000001</v>
      </c>
      <c r="J15">
        <v>31.04591254</v>
      </c>
      <c r="K15">
        <v>32.151241710000001</v>
      </c>
      <c r="L15">
        <v>230.0021528</v>
      </c>
      <c r="M15">
        <v>14.19927822</v>
      </c>
      <c r="N15">
        <v>2.5788346419999999</v>
      </c>
      <c r="O15">
        <v>-3.8502520999999998E-2</v>
      </c>
      <c r="P15">
        <v>0.20489917999999999</v>
      </c>
      <c r="Q15" t="s">
        <v>19</v>
      </c>
      <c r="R15" t="s">
        <v>21</v>
      </c>
      <c r="S15">
        <f>IF(R15="粉砂质泥岩",0,IF(R15="暗色泥岩",1,IF(R15="非均质砂岩",2,IF(R15="均质砂岩",3,IF(R15="黑色页岩",4,IF(R15="凝灰岩",5,""))))))</f>
        <v>2</v>
      </c>
    </row>
    <row r="16" spans="1:19" x14ac:dyDescent="0.2">
      <c r="A16" t="s">
        <v>18</v>
      </c>
      <c r="B16">
        <v>1550.3598</v>
      </c>
      <c r="C16">
        <v>1554.3565000000001</v>
      </c>
      <c r="D16">
        <v>48.690184619999997</v>
      </c>
      <c r="E16">
        <v>2.7963723410000001</v>
      </c>
      <c r="F16">
        <v>114.1537094</v>
      </c>
      <c r="G16">
        <v>26.1268362</v>
      </c>
      <c r="H16">
        <v>27.146418659999998</v>
      </c>
      <c r="I16">
        <v>26.532632710000001</v>
      </c>
      <c r="J16">
        <v>26.564820839999999</v>
      </c>
      <c r="K16">
        <v>26.84929692</v>
      </c>
      <c r="L16">
        <v>231.5988279</v>
      </c>
      <c r="M16">
        <v>15.563651950000001</v>
      </c>
      <c r="N16">
        <v>2.6004649</v>
      </c>
      <c r="O16">
        <v>-0.118999861</v>
      </c>
      <c r="P16">
        <v>0.32076854799999999</v>
      </c>
      <c r="Q16" t="s">
        <v>19</v>
      </c>
      <c r="R16" t="s">
        <v>22</v>
      </c>
      <c r="S16">
        <f>IF(R16="粉砂质泥岩",0,IF(R16="暗色泥岩",1,IF(R16="非均质砂岩",2,IF(R16="均质砂岩",3,IF(R16="黑色页岩",4,IF(R16="凝灰岩",5,""))))))</f>
        <v>0</v>
      </c>
    </row>
    <row r="17" spans="1:19" x14ac:dyDescent="0.2">
      <c r="A17" t="s">
        <v>18</v>
      </c>
      <c r="B17">
        <v>1554.3565000000001</v>
      </c>
      <c r="C17">
        <v>1556.7902999999999</v>
      </c>
      <c r="D17">
        <v>53.525645449999999</v>
      </c>
      <c r="E17">
        <v>2.9285044309999999</v>
      </c>
      <c r="F17">
        <v>143.71168710000001</v>
      </c>
      <c r="G17">
        <v>23.17910461</v>
      </c>
      <c r="H17">
        <v>24.19635143</v>
      </c>
      <c r="I17">
        <v>23.94656792</v>
      </c>
      <c r="J17">
        <v>24.305565260000002</v>
      </c>
      <c r="K17">
        <v>25.328427789999999</v>
      </c>
      <c r="L17">
        <v>245.49011540000001</v>
      </c>
      <c r="M17">
        <v>20.585425659999999</v>
      </c>
      <c r="N17">
        <v>2.6042955640000001</v>
      </c>
      <c r="O17">
        <v>-0.168583121</v>
      </c>
      <c r="P17">
        <v>0.468558431</v>
      </c>
      <c r="Q17" t="s">
        <v>19</v>
      </c>
      <c r="R17" t="s">
        <v>20</v>
      </c>
      <c r="S17">
        <f>IF(R17="粉砂质泥岩",0,IF(R17="暗色泥岩",1,IF(R17="非均质砂岩",2,IF(R17="均质砂岩",3,IF(R17="黑色页岩",4,IF(R17="凝灰岩",5,""))))))</f>
        <v>1</v>
      </c>
    </row>
    <row r="18" spans="1:19" x14ac:dyDescent="0.2">
      <c r="A18" t="s">
        <v>18</v>
      </c>
      <c r="B18">
        <v>1556.7902999999999</v>
      </c>
      <c r="C18">
        <v>1558.8190999999999</v>
      </c>
      <c r="D18">
        <v>55.144025239999998</v>
      </c>
      <c r="E18">
        <v>2.7493708830000001</v>
      </c>
      <c r="F18">
        <v>101.7272487</v>
      </c>
      <c r="G18">
        <v>25.011489529999999</v>
      </c>
      <c r="H18">
        <v>31.792109100000001</v>
      </c>
      <c r="I18">
        <v>30.507148180000002</v>
      </c>
      <c r="J18">
        <v>30.48341044</v>
      </c>
      <c r="K18">
        <v>31.84173741</v>
      </c>
      <c r="L18">
        <v>228.92257599999999</v>
      </c>
      <c r="M18">
        <v>15.34282292</v>
      </c>
      <c r="N18">
        <v>2.5885213679999999</v>
      </c>
      <c r="O18">
        <v>-8.1668992999999995E-2</v>
      </c>
      <c r="P18">
        <v>0.25863624200000002</v>
      </c>
      <c r="Q18" t="s">
        <v>19</v>
      </c>
      <c r="R18" t="s">
        <v>22</v>
      </c>
      <c r="S18">
        <f>IF(R18="粉砂质泥岩",0,IF(R18="暗色泥岩",1,IF(R18="非均质砂岩",2,IF(R18="均质砂岩",3,IF(R18="黑色页岩",4,IF(R18="凝灰岩",5,""))))))</f>
        <v>0</v>
      </c>
    </row>
    <row r="19" spans="1:19" x14ac:dyDescent="0.2">
      <c r="A19" t="s">
        <v>18</v>
      </c>
      <c r="B19">
        <v>1558.8190999999999</v>
      </c>
      <c r="C19">
        <v>1561.7123999999999</v>
      </c>
      <c r="D19">
        <v>55.438086990000002</v>
      </c>
      <c r="E19">
        <v>2.5927483539999998</v>
      </c>
      <c r="F19">
        <v>137.9751593</v>
      </c>
      <c r="G19">
        <v>15.024432060000001</v>
      </c>
      <c r="H19">
        <v>16.364919660000002</v>
      </c>
      <c r="I19">
        <v>16.14223921</v>
      </c>
      <c r="J19">
        <v>16.361999269999998</v>
      </c>
      <c r="K19">
        <v>17.05494289</v>
      </c>
      <c r="L19">
        <v>236.90228400000001</v>
      </c>
      <c r="M19">
        <v>17.92682735</v>
      </c>
      <c r="N19">
        <v>2.603974521</v>
      </c>
      <c r="O19">
        <v>-0.16575728200000001</v>
      </c>
      <c r="P19">
        <v>0.43987579399999999</v>
      </c>
      <c r="Q19" t="s">
        <v>19</v>
      </c>
      <c r="R19" t="s">
        <v>24</v>
      </c>
      <c r="S19">
        <f>IF(R19="粉砂质泥岩",0,IF(R19="暗色泥岩",1,IF(R19="非均质砂岩",2,IF(R19="均质砂岩",3,IF(R19="黑色页岩",4,IF(R19="凝灰岩",5,""))))))</f>
        <v>5</v>
      </c>
    </row>
    <row r="20" spans="1:19" x14ac:dyDescent="0.2">
      <c r="A20" t="s">
        <v>18</v>
      </c>
      <c r="B20">
        <v>1561.7123999999999</v>
      </c>
      <c r="C20">
        <v>1565.4718</v>
      </c>
      <c r="D20">
        <v>48.739024620000002</v>
      </c>
      <c r="E20">
        <v>2.7061530540000001</v>
      </c>
      <c r="F20">
        <v>91.159530149999995</v>
      </c>
      <c r="G20">
        <v>31.11504592</v>
      </c>
      <c r="H20">
        <v>35.330212930000002</v>
      </c>
      <c r="I20">
        <v>35.094342140000002</v>
      </c>
      <c r="J20">
        <v>35.539032290000002</v>
      </c>
      <c r="K20">
        <v>37.424851199999999</v>
      </c>
      <c r="L20">
        <v>228.5591775</v>
      </c>
      <c r="M20">
        <v>14.835433739999999</v>
      </c>
      <c r="N20">
        <v>2.570695562</v>
      </c>
      <c r="O20">
        <v>-2.5245664000000001E-2</v>
      </c>
      <c r="P20">
        <v>0.205797651</v>
      </c>
      <c r="Q20" t="s">
        <v>19</v>
      </c>
      <c r="R20" t="s">
        <v>21</v>
      </c>
      <c r="S20">
        <f>IF(R20="粉砂质泥岩",0,IF(R20="暗色泥岩",1,IF(R20="非均质砂岩",2,IF(R20="均质砂岩",3,IF(R20="黑色页岩",4,IF(R20="凝灰岩",5,""))))))</f>
        <v>2</v>
      </c>
    </row>
    <row r="21" spans="1:19" x14ac:dyDescent="0.2">
      <c r="A21" t="s">
        <v>18</v>
      </c>
      <c r="B21">
        <v>1565.4718</v>
      </c>
      <c r="C21">
        <v>1570.933</v>
      </c>
      <c r="D21">
        <v>52.152209220000003</v>
      </c>
      <c r="E21">
        <v>2.9145909310000002</v>
      </c>
      <c r="F21">
        <v>116.7038503</v>
      </c>
      <c r="G21">
        <v>25.427926509999999</v>
      </c>
      <c r="H21">
        <v>26.722825199999999</v>
      </c>
      <c r="I21">
        <v>26.163918809999998</v>
      </c>
      <c r="J21">
        <v>26.31682515</v>
      </c>
      <c r="K21">
        <v>27.104154040000001</v>
      </c>
      <c r="L21">
        <v>231.759141</v>
      </c>
      <c r="M21">
        <v>17.646933579999999</v>
      </c>
      <c r="N21">
        <v>2.6300832170000001</v>
      </c>
      <c r="O21">
        <v>-9.1701116999999999E-2</v>
      </c>
      <c r="P21">
        <v>0.33351925199999999</v>
      </c>
      <c r="Q21" t="s">
        <v>19</v>
      </c>
      <c r="R21" t="s">
        <v>22</v>
      </c>
      <c r="S21">
        <f>IF(R21="粉砂质泥岩",0,IF(R21="暗色泥岩",1,IF(R21="非均质砂岩",2,IF(R21="均质砂岩",3,IF(R21="黑色页岩",4,IF(R21="凝灰岩",5,""))))))</f>
        <v>0</v>
      </c>
    </row>
    <row r="22" spans="1:19" x14ac:dyDescent="0.2">
      <c r="A22" t="s">
        <v>18</v>
      </c>
      <c r="B22">
        <v>1570.933</v>
      </c>
      <c r="C22">
        <v>1573.1132</v>
      </c>
      <c r="D22">
        <v>57.766367809999998</v>
      </c>
      <c r="E22">
        <v>2.8698981739999998</v>
      </c>
      <c r="F22">
        <v>175.90405870000001</v>
      </c>
      <c r="G22">
        <v>17.272189189999999</v>
      </c>
      <c r="H22">
        <v>20.790662919999999</v>
      </c>
      <c r="I22">
        <v>20.7513103</v>
      </c>
      <c r="J22">
        <v>20.970119319999998</v>
      </c>
      <c r="K22">
        <v>21.946619720000001</v>
      </c>
      <c r="L22">
        <v>261.72395829999999</v>
      </c>
      <c r="M22">
        <v>24.05443859</v>
      </c>
      <c r="N22">
        <v>2.5618430640000001</v>
      </c>
      <c r="O22">
        <v>-0.17842034800000001</v>
      </c>
      <c r="P22">
        <v>0.62952028699999996</v>
      </c>
      <c r="Q22" t="s">
        <v>19</v>
      </c>
      <c r="R22" t="s">
        <v>20</v>
      </c>
      <c r="S22">
        <f>IF(R22="粉砂质泥岩",0,IF(R22="暗色泥岩",1,IF(R22="非均质砂岩",2,IF(R22="均质砂岩",3,IF(R22="黑色页岩",4,IF(R22="凝灰岩",5,""))))))</f>
        <v>1</v>
      </c>
    </row>
    <row r="23" spans="1:19" x14ac:dyDescent="0.2">
      <c r="A23" t="s">
        <v>18</v>
      </c>
      <c r="B23">
        <v>1573.1132</v>
      </c>
      <c r="C23">
        <v>1578.4679000000001</v>
      </c>
      <c r="D23">
        <v>57.805374929999999</v>
      </c>
      <c r="E23">
        <v>3.099207748</v>
      </c>
      <c r="F23">
        <v>137.59695310000001</v>
      </c>
      <c r="G23">
        <v>22.70848569</v>
      </c>
      <c r="H23">
        <v>23.562047870000001</v>
      </c>
      <c r="I23">
        <v>22.844691359999999</v>
      </c>
      <c r="J23">
        <v>22.953258210000001</v>
      </c>
      <c r="K23">
        <v>23.429956700000002</v>
      </c>
      <c r="L23">
        <v>241.83216999999999</v>
      </c>
      <c r="M23">
        <v>22.250084959999999</v>
      </c>
      <c r="N23">
        <v>2.6482680599999999</v>
      </c>
      <c r="O23">
        <v>-7.2515761999999998E-2</v>
      </c>
      <c r="P23">
        <v>0.437984765</v>
      </c>
      <c r="Q23" t="s">
        <v>19</v>
      </c>
      <c r="R23" t="s">
        <v>22</v>
      </c>
      <c r="S23">
        <f>IF(R23="粉砂质泥岩",0,IF(R23="暗色泥岩",1,IF(R23="非均质砂岩",2,IF(R23="均质砂岩",3,IF(R23="黑色页岩",4,IF(R23="凝灰岩",5,""))))))</f>
        <v>0</v>
      </c>
    </row>
    <row r="24" spans="1:19" x14ac:dyDescent="0.2">
      <c r="A24" t="s">
        <v>18</v>
      </c>
      <c r="B24">
        <v>1578.4679000000001</v>
      </c>
      <c r="C24">
        <v>1582.1255000000001</v>
      </c>
      <c r="D24">
        <v>55.348415760000002</v>
      </c>
      <c r="E24">
        <v>2.9142099780000001</v>
      </c>
      <c r="F24">
        <v>117.6322912</v>
      </c>
      <c r="G24">
        <v>30.18118432</v>
      </c>
      <c r="H24">
        <v>31.859520280000002</v>
      </c>
      <c r="I24">
        <v>30.208870569999998</v>
      </c>
      <c r="J24">
        <v>30.189814380000001</v>
      </c>
      <c r="K24">
        <v>30.40971489</v>
      </c>
      <c r="L24">
        <v>234.4554454</v>
      </c>
      <c r="M24">
        <v>17.553714119999999</v>
      </c>
      <c r="N24">
        <v>2.5878776229999998</v>
      </c>
      <c r="O24">
        <v>-1.6510064000000001E-2</v>
      </c>
      <c r="P24">
        <v>0.33816146000000002</v>
      </c>
      <c r="Q24" t="s">
        <v>19</v>
      </c>
      <c r="R24" t="s">
        <v>21</v>
      </c>
      <c r="S24">
        <f>IF(R24="粉砂质泥岩",0,IF(R24="暗色泥岩",1,IF(R24="非均质砂岩",2,IF(R24="均质砂岩",3,IF(R24="黑色页岩",4,IF(R24="凝灰岩",5,""))))))</f>
        <v>2</v>
      </c>
    </row>
    <row r="25" spans="1:19" x14ac:dyDescent="0.2">
      <c r="A25" t="s">
        <v>18</v>
      </c>
      <c r="B25">
        <v>1582.1255000000001</v>
      </c>
      <c r="C25">
        <v>1585.3686</v>
      </c>
      <c r="D25">
        <v>52.674043730000001</v>
      </c>
      <c r="E25">
        <v>2.4313392110000001</v>
      </c>
      <c r="F25">
        <v>160.18375929999999</v>
      </c>
      <c r="G25">
        <v>20.62343357</v>
      </c>
      <c r="H25">
        <v>20.697253190000001</v>
      </c>
      <c r="I25">
        <v>20.198695499999999</v>
      </c>
      <c r="J25">
        <v>20.613032659999998</v>
      </c>
      <c r="K25">
        <v>21.32137998</v>
      </c>
      <c r="L25">
        <v>252.70711660000001</v>
      </c>
      <c r="M25">
        <v>20.219702049999999</v>
      </c>
      <c r="N25">
        <v>2.5328161269999998</v>
      </c>
      <c r="O25">
        <v>-0.16652255099999999</v>
      </c>
      <c r="P25">
        <v>0.55091880100000001</v>
      </c>
      <c r="Q25" t="s">
        <v>19</v>
      </c>
      <c r="R25" t="s">
        <v>20</v>
      </c>
      <c r="S25">
        <f>IF(R25="粉砂质泥岩",0,IF(R25="暗色泥岩",1,IF(R25="非均质砂岩",2,IF(R25="均质砂岩",3,IF(R25="黑色页岩",4,IF(R25="凝灰岩",5,""))))))</f>
        <v>1</v>
      </c>
    </row>
    <row r="26" spans="1:19" x14ac:dyDescent="0.2">
      <c r="A26" t="s">
        <v>18</v>
      </c>
      <c r="B26">
        <v>1585.3686</v>
      </c>
      <c r="C26">
        <v>1596.5368000000001</v>
      </c>
      <c r="D26">
        <v>7.0810244640000004</v>
      </c>
      <c r="E26">
        <v>3.4026429889999998</v>
      </c>
      <c r="F26">
        <v>409.85631139999998</v>
      </c>
      <c r="G26">
        <v>63.767337820000002</v>
      </c>
      <c r="H26">
        <v>78.021158560000003</v>
      </c>
      <c r="I26">
        <v>76.477792780000001</v>
      </c>
      <c r="J26">
        <v>78.291351910000003</v>
      </c>
      <c r="K26">
        <v>85.297646290000003</v>
      </c>
      <c r="L26">
        <v>326.47908649999999</v>
      </c>
      <c r="M26">
        <v>44.192097959999998</v>
      </c>
      <c r="N26">
        <v>2.2651953140000001</v>
      </c>
      <c r="O26">
        <v>-0.170243597</v>
      </c>
      <c r="P26">
        <v>1.7992815550000001</v>
      </c>
      <c r="Q26" t="s">
        <v>19</v>
      </c>
      <c r="R26" t="s">
        <v>25</v>
      </c>
      <c r="S26">
        <f>IF(R26="粉砂质泥岩",0,IF(R26="暗色泥岩",1,IF(R26="非均质砂岩",2,IF(R26="均质砂岩",3,IF(R26="黑色页岩",4,IF(R26="凝灰岩",5,""))))))</f>
        <v>4</v>
      </c>
    </row>
    <row r="27" spans="1:19" x14ac:dyDescent="0.2">
      <c r="A27" t="s">
        <v>18</v>
      </c>
      <c r="B27">
        <v>1596.5368000000001</v>
      </c>
      <c r="C27">
        <v>1597.6696999999999</v>
      </c>
      <c r="D27">
        <v>9.0610831259999998</v>
      </c>
      <c r="E27">
        <v>2.7480588199999998</v>
      </c>
      <c r="F27">
        <v>213.27462389999999</v>
      </c>
      <c r="G27">
        <v>22.018848989999999</v>
      </c>
      <c r="H27">
        <v>25.42576141</v>
      </c>
      <c r="I27">
        <v>26.292159649999999</v>
      </c>
      <c r="J27">
        <v>30.555187610000001</v>
      </c>
      <c r="K27">
        <v>34.669781880000002</v>
      </c>
      <c r="L27">
        <v>288.19464110000001</v>
      </c>
      <c r="M27">
        <v>29.5289772</v>
      </c>
      <c r="N27">
        <v>2.451924086</v>
      </c>
      <c r="O27">
        <v>-0.17344520199999999</v>
      </c>
      <c r="P27">
        <v>0.81637311899999998</v>
      </c>
      <c r="Q27" t="s">
        <v>19</v>
      </c>
      <c r="R27" t="s">
        <v>23</v>
      </c>
      <c r="S27">
        <f>IF(R27="粉砂质泥岩",0,IF(R27="暗色泥岩",1,IF(R27="非均质砂岩",2,IF(R27="均质砂岩",3,IF(R27="黑色页岩",4,IF(R27="凝灰岩",5,""))))))</f>
        <v>3</v>
      </c>
    </row>
    <row r="28" spans="1:19" x14ac:dyDescent="0.2">
      <c r="A28" t="s">
        <v>18</v>
      </c>
      <c r="B28">
        <v>1597.6696999999999</v>
      </c>
      <c r="C28">
        <v>1600.4815000000001</v>
      </c>
      <c r="D28">
        <v>16.16548401</v>
      </c>
      <c r="E28">
        <v>3.1128268860000001</v>
      </c>
      <c r="F28">
        <v>258.68643650000001</v>
      </c>
      <c r="G28">
        <v>45.277277570000003</v>
      </c>
      <c r="H28">
        <v>51.033282980000003</v>
      </c>
      <c r="I28">
        <v>51.232775310000001</v>
      </c>
      <c r="J28">
        <v>52.44612918</v>
      </c>
      <c r="K28">
        <v>56.034152980000002</v>
      </c>
      <c r="L28">
        <v>280.57128770000003</v>
      </c>
      <c r="M28">
        <v>29.938186229999999</v>
      </c>
      <c r="N28">
        <v>2.4404223589999998</v>
      </c>
      <c r="O28">
        <v>-0.20890925099999999</v>
      </c>
      <c r="P28">
        <v>1.043432186</v>
      </c>
      <c r="Q28" t="s">
        <v>19</v>
      </c>
      <c r="R28" t="s">
        <v>25</v>
      </c>
      <c r="S28">
        <f>IF(R28="粉砂质泥岩",0,IF(R28="暗色泥岩",1,IF(R28="非均质砂岩",2,IF(R28="均质砂岩",3,IF(R28="黑色页岩",4,IF(R28="凝灰岩",5,""))))))</f>
        <v>4</v>
      </c>
    </row>
    <row r="29" spans="1:19" x14ac:dyDescent="0.2">
      <c r="A29" t="s">
        <v>18</v>
      </c>
      <c r="B29">
        <v>1600.4815000000001</v>
      </c>
      <c r="C29">
        <v>1601.1581000000001</v>
      </c>
      <c r="D29">
        <v>27.422826449999999</v>
      </c>
      <c r="E29">
        <v>2.753041546</v>
      </c>
      <c r="F29">
        <v>164.04762270000001</v>
      </c>
      <c r="G29">
        <v>68.360165910000006</v>
      </c>
      <c r="H29">
        <v>78.645185470000001</v>
      </c>
      <c r="I29">
        <v>79.743780139999998</v>
      </c>
      <c r="J29">
        <v>80.872258500000001</v>
      </c>
      <c r="K29">
        <v>86.060183839999993</v>
      </c>
      <c r="L29">
        <v>253.6671321</v>
      </c>
      <c r="M29">
        <v>19.766913729999999</v>
      </c>
      <c r="N29">
        <v>2.4884541429999998</v>
      </c>
      <c r="O29">
        <v>-0.17195239400000001</v>
      </c>
      <c r="P29">
        <v>0.57023811800000002</v>
      </c>
      <c r="Q29" t="s">
        <v>19</v>
      </c>
      <c r="R29" t="s">
        <v>21</v>
      </c>
      <c r="S29">
        <f>IF(R29="粉砂质泥岩",0,IF(R29="暗色泥岩",1,IF(R29="非均质砂岩",2,IF(R29="均质砂岩",3,IF(R29="黑色页岩",4,IF(R29="凝灰岩",5,""))))))</f>
        <v>2</v>
      </c>
    </row>
    <row r="30" spans="1:19" x14ac:dyDescent="0.2">
      <c r="A30" t="s">
        <v>18</v>
      </c>
      <c r="B30">
        <v>1601.1581000000001</v>
      </c>
      <c r="C30">
        <v>1602.8942</v>
      </c>
      <c r="D30">
        <v>31.736459480000001</v>
      </c>
      <c r="E30">
        <v>2.9841589609999999</v>
      </c>
      <c r="F30">
        <v>254.98953449999999</v>
      </c>
      <c r="G30">
        <v>65.542724739999997</v>
      </c>
      <c r="H30">
        <v>79.140172320000005</v>
      </c>
      <c r="I30">
        <v>79.543601989999999</v>
      </c>
      <c r="J30">
        <v>80.477816770000004</v>
      </c>
      <c r="K30">
        <v>84.206695049999993</v>
      </c>
      <c r="L30">
        <v>275.46478680000001</v>
      </c>
      <c r="M30">
        <v>26.568824899999999</v>
      </c>
      <c r="N30">
        <v>2.4344288980000002</v>
      </c>
      <c r="O30">
        <v>-0.22360606</v>
      </c>
      <c r="P30">
        <v>1.0249476710000001</v>
      </c>
      <c r="Q30" t="s">
        <v>19</v>
      </c>
      <c r="R30" t="s">
        <v>25</v>
      </c>
      <c r="S30">
        <f>IF(R30="粉砂质泥岩",0,IF(R30="暗色泥岩",1,IF(R30="非均质砂岩",2,IF(R30="均质砂岩",3,IF(R30="黑色页岩",4,IF(R30="凝灰岩",5,""))))))</f>
        <v>4</v>
      </c>
    </row>
    <row r="31" spans="1:19" x14ac:dyDescent="0.2">
      <c r="A31" t="s">
        <v>18</v>
      </c>
      <c r="B31">
        <v>1602.8942</v>
      </c>
      <c r="C31">
        <v>1603.1904999999999</v>
      </c>
      <c r="D31">
        <v>33.887669879999997</v>
      </c>
      <c r="E31">
        <v>2.598789215</v>
      </c>
      <c r="F31">
        <v>154.929484</v>
      </c>
      <c r="G31">
        <v>71.800160730000002</v>
      </c>
      <c r="H31">
        <v>83.008318579999994</v>
      </c>
      <c r="I31">
        <v>80.684923810000001</v>
      </c>
      <c r="J31">
        <v>77.487147010000001</v>
      </c>
      <c r="K31">
        <v>77.344126380000006</v>
      </c>
      <c r="L31">
        <v>270.84427899999997</v>
      </c>
      <c r="M31">
        <v>24.42103831</v>
      </c>
      <c r="N31">
        <v>2.4408526419999999</v>
      </c>
      <c r="O31">
        <v>-0.15031768600000001</v>
      </c>
      <c r="P31">
        <v>0.52464740499999996</v>
      </c>
      <c r="Q31" t="s">
        <v>19</v>
      </c>
      <c r="R31" t="s">
        <v>21</v>
      </c>
      <c r="S31">
        <f>IF(R31="粉砂质泥岩",0,IF(R31="暗色泥岩",1,IF(R31="非均质砂岩",2,IF(R31="均质砂岩",3,IF(R31="黑色页岩",4,IF(R31="凝灰岩",5,""))))))</f>
        <v>2</v>
      </c>
    </row>
    <row r="32" spans="1:19" x14ac:dyDescent="0.2">
      <c r="A32" t="s">
        <v>18</v>
      </c>
      <c r="B32">
        <v>1603.1904999999999</v>
      </c>
      <c r="C32">
        <v>1603.9693</v>
      </c>
      <c r="D32">
        <v>36.117273060000002</v>
      </c>
      <c r="E32">
        <v>2.988320453</v>
      </c>
      <c r="F32">
        <v>253.07985360000001</v>
      </c>
      <c r="G32">
        <v>66.163063050000005</v>
      </c>
      <c r="H32">
        <v>78.660527369999997</v>
      </c>
      <c r="I32">
        <v>76.598603929999996</v>
      </c>
      <c r="J32">
        <v>74.049975799999999</v>
      </c>
      <c r="K32">
        <v>74.209609990000004</v>
      </c>
      <c r="L32">
        <v>290.45905850000003</v>
      </c>
      <c r="M32">
        <v>31.181046349999999</v>
      </c>
      <c r="N32">
        <v>2.4208561689999999</v>
      </c>
      <c r="O32">
        <v>-0.21018978499999999</v>
      </c>
      <c r="P32">
        <v>1.0153992430000001</v>
      </c>
      <c r="Q32" t="s">
        <v>19</v>
      </c>
      <c r="R32" t="s">
        <v>25</v>
      </c>
      <c r="S32">
        <f>IF(R32="粉砂质泥岩",0,IF(R32="暗色泥岩",1,IF(R32="非均质砂岩",2,IF(R32="均质砂岩",3,IF(R32="黑色页岩",4,IF(R32="凝灰岩",5,""))))))</f>
        <v>4</v>
      </c>
    </row>
    <row r="33" spans="1:19" x14ac:dyDescent="0.2">
      <c r="A33" t="s">
        <v>18</v>
      </c>
      <c r="B33">
        <v>1603.9693</v>
      </c>
      <c r="C33">
        <v>1606.8542</v>
      </c>
      <c r="D33">
        <v>38.756058379999999</v>
      </c>
      <c r="E33">
        <v>2.4594252409999999</v>
      </c>
      <c r="F33">
        <v>162.13140039999999</v>
      </c>
      <c r="G33">
        <v>32.049542350000003</v>
      </c>
      <c r="H33">
        <v>34.660444740000003</v>
      </c>
      <c r="I33">
        <v>35.033617499999998</v>
      </c>
      <c r="J33">
        <v>35.246415059999997</v>
      </c>
      <c r="K33">
        <v>36.55191859</v>
      </c>
      <c r="L33">
        <v>278.04064940000001</v>
      </c>
      <c r="M33">
        <v>25.15337332</v>
      </c>
      <c r="N33">
        <v>2.4004560009999998</v>
      </c>
      <c r="O33">
        <v>-0.18569993200000001</v>
      </c>
      <c r="P33">
        <v>0.56065700600000001</v>
      </c>
      <c r="Q33" t="s">
        <v>19</v>
      </c>
      <c r="R33" t="s">
        <v>24</v>
      </c>
      <c r="S33">
        <f>IF(R33="粉砂质泥岩",0,IF(R33="暗色泥岩",1,IF(R33="非均质砂岩",2,IF(R33="均质砂岩",3,IF(R33="黑色页岩",4,IF(R33="凝灰岩",5,""))))))</f>
        <v>5</v>
      </c>
    </row>
    <row r="34" spans="1:19" x14ac:dyDescent="0.2">
      <c r="A34" t="s">
        <v>26</v>
      </c>
      <c r="B34">
        <v>1212.1570999999999</v>
      </c>
      <c r="C34">
        <v>1216.9733000000001</v>
      </c>
      <c r="D34">
        <v>59.6855464</v>
      </c>
      <c r="E34">
        <v>2.9232843640000001</v>
      </c>
      <c r="F34">
        <v>195.06823349999999</v>
      </c>
      <c r="G34">
        <v>13.368416330000001</v>
      </c>
      <c r="H34">
        <v>14.20844314</v>
      </c>
      <c r="I34">
        <v>14.229762790000001</v>
      </c>
      <c r="J34">
        <v>14.235373470000001</v>
      </c>
      <c r="K34">
        <v>14.216432640000001</v>
      </c>
      <c r="L34">
        <v>278.30621600000001</v>
      </c>
      <c r="M34">
        <v>27.392684939999999</v>
      </c>
      <c r="N34">
        <v>2.5294265390000001</v>
      </c>
      <c r="O34">
        <v>-0.21516744400000001</v>
      </c>
      <c r="P34">
        <v>0.72534116800000004</v>
      </c>
      <c r="Q34" t="s">
        <v>19</v>
      </c>
      <c r="R34" t="s">
        <v>20</v>
      </c>
      <c r="S34">
        <f>IF(R34="粉砂质泥岩",0,IF(R34="暗色泥岩",1,IF(R34="非均质砂岩",2,IF(R34="均质砂岩",3,IF(R34="黑色页岩",4,IF(R34="凝灰岩",5,""))))))</f>
        <v>1</v>
      </c>
    </row>
    <row r="35" spans="1:19" x14ac:dyDescent="0.2">
      <c r="A35" t="s">
        <v>26</v>
      </c>
      <c r="B35">
        <v>1216.9733000000001</v>
      </c>
      <c r="C35">
        <v>1221.4186999999999</v>
      </c>
      <c r="D35">
        <v>59.796772109999999</v>
      </c>
      <c r="E35">
        <v>2.896040272</v>
      </c>
      <c r="F35">
        <v>132.21393359999999</v>
      </c>
      <c r="G35">
        <v>18.282169140000001</v>
      </c>
      <c r="H35">
        <v>18.328280580000001</v>
      </c>
      <c r="I35">
        <v>18.434850229999999</v>
      </c>
      <c r="J35">
        <v>18.50555224</v>
      </c>
      <c r="K35">
        <v>18.64797334</v>
      </c>
      <c r="L35">
        <v>233.3926524</v>
      </c>
      <c r="M35">
        <v>18.195183910000001</v>
      </c>
      <c r="N35">
        <v>2.6309065559999998</v>
      </c>
      <c r="O35">
        <v>-6.2407092999999997E-2</v>
      </c>
      <c r="P35">
        <v>0.41106966700000003</v>
      </c>
      <c r="Q35" t="s">
        <v>19</v>
      </c>
      <c r="R35" t="s">
        <v>22</v>
      </c>
      <c r="S35">
        <f>IF(R35="粉砂质泥岩",0,IF(R35="暗色泥岩",1,IF(R35="非均质砂岩",2,IF(R35="均质砂岩",3,IF(R35="黑色页岩",4,IF(R35="凝灰岩",5,""))))))</f>
        <v>0</v>
      </c>
    </row>
    <row r="36" spans="1:19" x14ac:dyDescent="0.2">
      <c r="A36" t="s">
        <v>26</v>
      </c>
      <c r="B36">
        <v>1221.4186999999999</v>
      </c>
      <c r="C36">
        <v>1226.9215999999999</v>
      </c>
      <c r="D36">
        <v>54.46815745</v>
      </c>
      <c r="E36">
        <v>2.7606817029999999</v>
      </c>
      <c r="F36">
        <v>122.8347126</v>
      </c>
      <c r="G36">
        <v>18.276936020000001</v>
      </c>
      <c r="H36">
        <v>18.237091020000001</v>
      </c>
      <c r="I36">
        <v>18.402978539999999</v>
      </c>
      <c r="J36">
        <v>18.609893589999999</v>
      </c>
      <c r="K36">
        <v>18.74803558</v>
      </c>
      <c r="L36">
        <v>232.47853660000001</v>
      </c>
      <c r="M36">
        <v>17.936416439999999</v>
      </c>
      <c r="N36">
        <v>2.6018963070000001</v>
      </c>
      <c r="O36">
        <v>-2.1471770000000001E-3</v>
      </c>
      <c r="P36">
        <v>0.36417356299999998</v>
      </c>
      <c r="Q36" t="s">
        <v>19</v>
      </c>
      <c r="R36" t="s">
        <v>21</v>
      </c>
      <c r="S36">
        <f>IF(R36="粉砂质泥岩",0,IF(R36="暗色泥岩",1,IF(R36="非均质砂岩",2,IF(R36="均质砂岩",3,IF(R36="黑色页岩",4,IF(R36="凝灰岩",5,""))))))</f>
        <v>2</v>
      </c>
    </row>
    <row r="37" spans="1:19" x14ac:dyDescent="0.2">
      <c r="A37" t="s">
        <v>26</v>
      </c>
      <c r="B37">
        <v>1226.9215999999999</v>
      </c>
      <c r="C37">
        <v>1227.6096</v>
      </c>
      <c r="D37">
        <v>53.584811620000004</v>
      </c>
      <c r="E37">
        <v>2.985303708</v>
      </c>
      <c r="F37">
        <v>189.72998480000001</v>
      </c>
      <c r="G37">
        <v>10.27295494</v>
      </c>
      <c r="H37">
        <v>10.982046670000001</v>
      </c>
      <c r="I37">
        <v>11.44803946</v>
      </c>
      <c r="J37">
        <v>11.574114659999999</v>
      </c>
      <c r="K37">
        <v>11.823657989999999</v>
      </c>
      <c r="L37">
        <v>275.09864809999999</v>
      </c>
      <c r="M37">
        <v>26.188781469999999</v>
      </c>
      <c r="N37">
        <v>2.5659214769999998</v>
      </c>
      <c r="O37">
        <v>-0.20396014300000001</v>
      </c>
      <c r="P37">
        <v>0.69864992999999997</v>
      </c>
      <c r="Q37" t="s">
        <v>19</v>
      </c>
      <c r="R37" t="s">
        <v>20</v>
      </c>
      <c r="S37">
        <f>IF(R37="粉砂质泥岩",0,IF(R37="暗色泥岩",1,IF(R37="非均质砂岩",2,IF(R37="均质砂岩",3,IF(R37="黑色页岩",4,IF(R37="凝灰岩",5,""))))))</f>
        <v>1</v>
      </c>
    </row>
    <row r="38" spans="1:19" x14ac:dyDescent="0.2">
      <c r="A38" t="s">
        <v>26</v>
      </c>
      <c r="B38">
        <v>1227.6096</v>
      </c>
      <c r="C38">
        <v>1230.048</v>
      </c>
      <c r="D38">
        <v>50.566818240000003</v>
      </c>
      <c r="E38">
        <v>2.5707398029999999</v>
      </c>
      <c r="F38">
        <v>94.417414710000003</v>
      </c>
      <c r="G38">
        <v>26.72088055</v>
      </c>
      <c r="H38">
        <v>28.088221099999998</v>
      </c>
      <c r="I38">
        <v>29.132957099999999</v>
      </c>
      <c r="J38">
        <v>29.4615796</v>
      </c>
      <c r="K38">
        <v>29.92331051</v>
      </c>
      <c r="L38">
        <v>237.55342469999999</v>
      </c>
      <c r="M38">
        <v>16.905637380000002</v>
      </c>
      <c r="N38">
        <v>2.5030826159999999</v>
      </c>
      <c r="O38">
        <v>-6.3035080000000002E-3</v>
      </c>
      <c r="P38">
        <v>0.22208707599999999</v>
      </c>
      <c r="Q38" t="s">
        <v>19</v>
      </c>
      <c r="R38" t="s">
        <v>23</v>
      </c>
      <c r="S38">
        <f>IF(R38="粉砂质泥岩",0,IF(R38="暗色泥岩",1,IF(R38="非均质砂岩",2,IF(R38="均质砂岩",3,IF(R38="黑色页岩",4,IF(R38="凝灰岩",5,""))))))</f>
        <v>3</v>
      </c>
    </row>
    <row r="39" spans="1:19" x14ac:dyDescent="0.2">
      <c r="A39" t="s">
        <v>26</v>
      </c>
      <c r="B39">
        <v>1230.048</v>
      </c>
      <c r="C39">
        <v>1235.5322000000001</v>
      </c>
      <c r="D39">
        <v>54.215418409999998</v>
      </c>
      <c r="E39">
        <v>2.8826713719999999</v>
      </c>
      <c r="F39">
        <v>113.1472346</v>
      </c>
      <c r="G39">
        <v>26.07293799</v>
      </c>
      <c r="H39">
        <v>26.632176340000001</v>
      </c>
      <c r="I39">
        <v>27.035674620000002</v>
      </c>
      <c r="J39">
        <v>27.33239373</v>
      </c>
      <c r="K39">
        <v>27.608206899999999</v>
      </c>
      <c r="L39">
        <v>231.1717438</v>
      </c>
      <c r="M39">
        <v>18.622209720000001</v>
      </c>
      <c r="N39">
        <v>2.5911210429999998</v>
      </c>
      <c r="O39">
        <v>1.8306559E-2</v>
      </c>
      <c r="P39">
        <v>0.31573617300000001</v>
      </c>
      <c r="Q39" t="s">
        <v>19</v>
      </c>
      <c r="R39" t="s">
        <v>21</v>
      </c>
      <c r="S39">
        <f>IF(R39="粉砂质泥岩",0,IF(R39="暗色泥岩",1,IF(R39="非均质砂岩",2,IF(R39="均质砂岩",3,IF(R39="黑色页岩",4,IF(R39="凝灰岩",5,""))))))</f>
        <v>2</v>
      </c>
    </row>
    <row r="40" spans="1:19" x14ac:dyDescent="0.2">
      <c r="A40" t="s">
        <v>26</v>
      </c>
      <c r="B40">
        <v>1235.5322000000001</v>
      </c>
      <c r="C40">
        <v>1236.9535000000001</v>
      </c>
      <c r="D40">
        <v>61.123736379999997</v>
      </c>
      <c r="E40">
        <v>3.0486362580000002</v>
      </c>
      <c r="F40">
        <v>186.5888367</v>
      </c>
      <c r="G40">
        <v>29.332591369999999</v>
      </c>
      <c r="H40">
        <v>30.328895729999999</v>
      </c>
      <c r="I40">
        <v>30.838401640000001</v>
      </c>
      <c r="J40">
        <v>30.967410560000001</v>
      </c>
      <c r="K40">
        <v>31.23078203</v>
      </c>
      <c r="L40">
        <v>263.00304410000001</v>
      </c>
      <c r="M40">
        <v>27.373351410000001</v>
      </c>
      <c r="N40">
        <v>2.5608040089999999</v>
      </c>
      <c r="O40">
        <v>-0.14901281799999999</v>
      </c>
      <c r="P40">
        <v>0.68294418400000001</v>
      </c>
      <c r="Q40" t="s">
        <v>19</v>
      </c>
      <c r="R40" t="s">
        <v>20</v>
      </c>
      <c r="S40">
        <f>IF(R40="粉砂质泥岩",0,IF(R40="暗色泥岩",1,IF(R40="非均质砂岩",2,IF(R40="均质砂岩",3,IF(R40="黑色页岩",4,IF(R40="凝灰岩",5,""))))))</f>
        <v>1</v>
      </c>
    </row>
    <row r="41" spans="1:19" x14ac:dyDescent="0.2">
      <c r="A41" t="s">
        <v>26</v>
      </c>
      <c r="B41">
        <v>1236.9535000000001</v>
      </c>
      <c r="C41">
        <v>1243.6588999999999</v>
      </c>
      <c r="D41">
        <v>61.266249360000003</v>
      </c>
      <c r="E41">
        <v>2.6094441759999998</v>
      </c>
      <c r="F41">
        <v>103.47633380000001</v>
      </c>
      <c r="G41">
        <v>44.509866680000002</v>
      </c>
      <c r="H41">
        <v>42.802701120000002</v>
      </c>
      <c r="I41">
        <v>44.325519079999999</v>
      </c>
      <c r="J41">
        <v>46.147695710000001</v>
      </c>
      <c r="K41">
        <v>47.050016509999999</v>
      </c>
      <c r="L41">
        <v>237.06037130000001</v>
      </c>
      <c r="M41">
        <v>19.042414130000001</v>
      </c>
      <c r="N41">
        <v>2.5359372140000001</v>
      </c>
      <c r="O41">
        <v>2.0320022E-2</v>
      </c>
      <c r="P41">
        <v>0.26738166899999999</v>
      </c>
      <c r="Q41" t="s">
        <v>19</v>
      </c>
      <c r="R41" t="s">
        <v>21</v>
      </c>
      <c r="S41">
        <f>IF(R41="粉砂质泥岩",0,IF(R41="暗色泥岩",1,IF(R41="非均质砂岩",2,IF(R41="均质砂岩",3,IF(R41="黑色页岩",4,IF(R41="凝灰岩",5,""))))))</f>
        <v>2</v>
      </c>
    </row>
    <row r="42" spans="1:19" x14ac:dyDescent="0.2">
      <c r="A42" t="s">
        <v>26</v>
      </c>
      <c r="B42">
        <v>1243.6588999999999</v>
      </c>
      <c r="C42">
        <v>1245.4149</v>
      </c>
      <c r="D42">
        <v>55.818583930000003</v>
      </c>
      <c r="E42">
        <v>2.6869632559999999</v>
      </c>
      <c r="F42">
        <v>121.5345693</v>
      </c>
      <c r="G42">
        <v>32.908716069999997</v>
      </c>
      <c r="H42">
        <v>30.62726224</v>
      </c>
      <c r="I42">
        <v>31.330084360000001</v>
      </c>
      <c r="J42">
        <v>32.156582010000001</v>
      </c>
      <c r="K42">
        <v>33.004904809999999</v>
      </c>
      <c r="L42">
        <v>237.25371809999999</v>
      </c>
      <c r="M42">
        <v>21.013519290000001</v>
      </c>
      <c r="N42">
        <v>2.6043016589999999</v>
      </c>
      <c r="O42">
        <v>-1.7437686000000001E-2</v>
      </c>
      <c r="P42">
        <v>0.35767284799999999</v>
      </c>
      <c r="Q42" t="s">
        <v>19</v>
      </c>
      <c r="R42" t="s">
        <v>22</v>
      </c>
      <c r="S42">
        <f>IF(R42="粉砂质泥岩",0,IF(R42="暗色泥岩",1,IF(R42="非均质砂岩",2,IF(R42="均质砂岩",3,IF(R42="黑色页岩",4,IF(R42="凝灰岩",5,""))))))</f>
        <v>0</v>
      </c>
    </row>
    <row r="43" spans="1:19" x14ac:dyDescent="0.2">
      <c r="A43" t="s">
        <v>26</v>
      </c>
      <c r="B43">
        <v>1245.4149</v>
      </c>
      <c r="C43">
        <v>1249.7487000000001</v>
      </c>
      <c r="D43">
        <v>52.575017080000002</v>
      </c>
      <c r="E43">
        <v>2.5444659719999998</v>
      </c>
      <c r="F43">
        <v>101.7386966</v>
      </c>
      <c r="G43">
        <v>50.020765619999999</v>
      </c>
      <c r="H43">
        <v>45.214760669999997</v>
      </c>
      <c r="I43">
        <v>46.589746050000002</v>
      </c>
      <c r="J43">
        <v>47.621121410000001</v>
      </c>
      <c r="K43">
        <v>49.0557874</v>
      </c>
      <c r="L43">
        <v>233.57770410000001</v>
      </c>
      <c r="M43">
        <v>18.55107726</v>
      </c>
      <c r="N43">
        <v>2.5272783169999999</v>
      </c>
      <c r="O43">
        <v>5.6766220000000001E-3</v>
      </c>
      <c r="P43">
        <v>0.258693483</v>
      </c>
      <c r="Q43" t="s">
        <v>19</v>
      </c>
      <c r="R43" t="s">
        <v>23</v>
      </c>
      <c r="S43">
        <f>IF(R43="粉砂质泥岩",0,IF(R43="暗色泥岩",1,IF(R43="非均质砂岩",2,IF(R43="均质砂岩",3,IF(R43="黑色页岩",4,IF(R43="凝灰岩",5,""))))))</f>
        <v>3</v>
      </c>
    </row>
    <row r="44" spans="1:19" x14ac:dyDescent="0.2">
      <c r="A44" t="s">
        <v>26</v>
      </c>
      <c r="B44">
        <v>1249.7487000000001</v>
      </c>
      <c r="C44">
        <v>1251.9161999999999</v>
      </c>
      <c r="D44">
        <v>56.129975000000002</v>
      </c>
      <c r="E44">
        <v>3.0379783969999998</v>
      </c>
      <c r="F44">
        <v>130.7606528</v>
      </c>
      <c r="G44">
        <v>30.592606329999999</v>
      </c>
      <c r="H44">
        <v>29.131387180000001</v>
      </c>
      <c r="I44">
        <v>29.32195918</v>
      </c>
      <c r="J44">
        <v>29.804466779999998</v>
      </c>
      <c r="K44">
        <v>30.074298429999999</v>
      </c>
      <c r="L44">
        <v>236.1429426</v>
      </c>
      <c r="M44">
        <v>20.944079290000001</v>
      </c>
      <c r="N44">
        <v>2.6076596580000002</v>
      </c>
      <c r="O44">
        <v>-4.6517604999999997E-2</v>
      </c>
      <c r="P44">
        <v>0.40380326100000002</v>
      </c>
      <c r="Q44" t="s">
        <v>19</v>
      </c>
      <c r="R44" t="s">
        <v>22</v>
      </c>
      <c r="S44">
        <f>IF(R44="粉砂质泥岩",0,IF(R44="暗色泥岩",1,IF(R44="非均质砂岩",2,IF(R44="均质砂岩",3,IF(R44="黑色页岩",4,IF(R44="凝灰岩",5,""))))))</f>
        <v>0</v>
      </c>
    </row>
    <row r="45" spans="1:19" x14ac:dyDescent="0.2">
      <c r="A45" t="s">
        <v>26</v>
      </c>
      <c r="B45">
        <v>1251.9161999999999</v>
      </c>
      <c r="C45">
        <v>1258.2829999999999</v>
      </c>
      <c r="D45">
        <v>56.728156820000002</v>
      </c>
      <c r="E45">
        <v>2.4978684649999998</v>
      </c>
      <c r="F45">
        <v>98.784154009999995</v>
      </c>
      <c r="G45">
        <v>49.360197620000001</v>
      </c>
      <c r="H45">
        <v>49.732818790000003</v>
      </c>
      <c r="I45">
        <v>52.904283409999998</v>
      </c>
      <c r="J45">
        <v>56.379149839999997</v>
      </c>
      <c r="K45">
        <v>57.545060890000002</v>
      </c>
      <c r="L45">
        <v>234.57249949999999</v>
      </c>
      <c r="M45">
        <v>18.91717027</v>
      </c>
      <c r="N45">
        <v>2.5189136539999999</v>
      </c>
      <c r="O45">
        <v>2.8318683000000001E-2</v>
      </c>
      <c r="P45">
        <v>0.24392077100000001</v>
      </c>
      <c r="Q45" t="s">
        <v>19</v>
      </c>
      <c r="R45" t="s">
        <v>21</v>
      </c>
      <c r="S45">
        <f>IF(R45="粉砂质泥岩",0,IF(R45="暗色泥岩",1,IF(R45="非均质砂岩",2,IF(R45="均质砂岩",3,IF(R45="黑色页岩",4,IF(R45="凝灰岩",5,""))))))</f>
        <v>2</v>
      </c>
    </row>
    <row r="46" spans="1:19" x14ac:dyDescent="0.2">
      <c r="A46" t="s">
        <v>26</v>
      </c>
      <c r="B46">
        <v>1258.2829999999999</v>
      </c>
      <c r="C46">
        <v>1261.1954000000001</v>
      </c>
      <c r="D46">
        <v>53.488102750000003</v>
      </c>
      <c r="E46">
        <v>2.4766251050000001</v>
      </c>
      <c r="F46">
        <v>92.674786889999993</v>
      </c>
      <c r="G46">
        <v>84.155956590000002</v>
      </c>
      <c r="H46">
        <v>67.680286249999995</v>
      </c>
      <c r="I46">
        <v>70.553932189999998</v>
      </c>
      <c r="J46">
        <v>74.296188349999994</v>
      </c>
      <c r="K46">
        <v>77.652289710000005</v>
      </c>
      <c r="L46">
        <v>232.5563812</v>
      </c>
      <c r="M46">
        <v>17.936254420000001</v>
      </c>
      <c r="N46">
        <v>2.507879059</v>
      </c>
      <c r="O46">
        <v>3.0138923000000001E-2</v>
      </c>
      <c r="P46">
        <v>0.21337393399999999</v>
      </c>
      <c r="Q46" t="s">
        <v>19</v>
      </c>
      <c r="R46" t="s">
        <v>23</v>
      </c>
      <c r="S46">
        <f>IF(R46="粉砂质泥岩",0,IF(R46="暗色泥岩",1,IF(R46="非均质砂岩",2,IF(R46="均质砂岩",3,IF(R46="黑色页岩",4,IF(R46="凝灰岩",5,""))))))</f>
        <v>3</v>
      </c>
    </row>
    <row r="47" spans="1:19" x14ac:dyDescent="0.2">
      <c r="A47" t="s">
        <v>26</v>
      </c>
      <c r="B47">
        <v>1261.1954000000001</v>
      </c>
      <c r="C47">
        <v>1262.0082</v>
      </c>
      <c r="D47">
        <v>55.686176779999997</v>
      </c>
      <c r="E47">
        <v>2.9423231479999998</v>
      </c>
      <c r="F47">
        <v>137.49727440000001</v>
      </c>
      <c r="G47">
        <v>40.741961000000003</v>
      </c>
      <c r="H47">
        <v>34.413973570000003</v>
      </c>
      <c r="I47">
        <v>34.435211180000003</v>
      </c>
      <c r="J47">
        <v>36.001638409999998</v>
      </c>
      <c r="K47">
        <v>36.843563320000001</v>
      </c>
      <c r="L47">
        <v>239.87795829999999</v>
      </c>
      <c r="M47">
        <v>23.778396130000001</v>
      </c>
      <c r="N47">
        <v>2.6524772940000001</v>
      </c>
      <c r="O47">
        <v>-9.2275957000000006E-2</v>
      </c>
      <c r="P47">
        <v>0.43748637699999998</v>
      </c>
      <c r="Q47" t="s">
        <v>19</v>
      </c>
      <c r="R47" t="s">
        <v>20</v>
      </c>
      <c r="S47">
        <f>IF(R47="粉砂质泥岩",0,IF(R47="暗色泥岩",1,IF(R47="非均质砂岩",2,IF(R47="均质砂岩",3,IF(R47="黑色页岩",4,IF(R47="凝灰岩",5,""))))))</f>
        <v>1</v>
      </c>
    </row>
    <row r="48" spans="1:19" x14ac:dyDescent="0.2">
      <c r="A48" t="s">
        <v>26</v>
      </c>
      <c r="B48">
        <v>1262.0082</v>
      </c>
      <c r="C48">
        <v>1265.598</v>
      </c>
      <c r="D48">
        <v>57.948778529999998</v>
      </c>
      <c r="E48">
        <v>2.9687626119999999</v>
      </c>
      <c r="F48">
        <v>131.55602540000001</v>
      </c>
      <c r="G48">
        <v>38.429530970000002</v>
      </c>
      <c r="H48">
        <v>37.98287182</v>
      </c>
      <c r="I48">
        <v>39.53129698</v>
      </c>
      <c r="J48">
        <v>41.070216879999997</v>
      </c>
      <c r="K48">
        <v>41.402044869999997</v>
      </c>
      <c r="L48">
        <v>239.59783379999999</v>
      </c>
      <c r="M48">
        <v>21.799550880000002</v>
      </c>
      <c r="N48">
        <v>2.6034401659999999</v>
      </c>
      <c r="O48">
        <v>-0.10692149099999999</v>
      </c>
      <c r="P48">
        <v>0.40778012699999999</v>
      </c>
      <c r="Q48" t="s">
        <v>19</v>
      </c>
      <c r="R48" t="s">
        <v>22</v>
      </c>
      <c r="S48">
        <f>IF(R48="粉砂质泥岩",0,IF(R48="暗色泥岩",1,IF(R48="非均质砂岩",2,IF(R48="均质砂岩",3,IF(R48="黑色页岩",4,IF(R48="凝灰岩",5,""))))))</f>
        <v>0</v>
      </c>
    </row>
    <row r="49" spans="1:19" x14ac:dyDescent="0.2">
      <c r="A49" t="s">
        <v>26</v>
      </c>
      <c r="B49">
        <v>1265.598</v>
      </c>
      <c r="C49">
        <v>1267.5633</v>
      </c>
      <c r="D49">
        <v>56.636884799999997</v>
      </c>
      <c r="E49">
        <v>2.7297537749999998</v>
      </c>
      <c r="F49">
        <v>98.634715810000003</v>
      </c>
      <c r="G49">
        <v>45.928034050000001</v>
      </c>
      <c r="H49">
        <v>43.881089379999999</v>
      </c>
      <c r="I49">
        <v>45.008147409999999</v>
      </c>
      <c r="J49">
        <v>45.444669609999998</v>
      </c>
      <c r="K49">
        <v>46.137188860000002</v>
      </c>
      <c r="L49">
        <v>222.42320430000001</v>
      </c>
      <c r="M49">
        <v>16.337381140000002</v>
      </c>
      <c r="N49">
        <v>2.5872202899999999</v>
      </c>
      <c r="O49">
        <v>-1.308774E-2</v>
      </c>
      <c r="P49">
        <v>0.243173578</v>
      </c>
      <c r="Q49" t="s">
        <v>19</v>
      </c>
      <c r="R49" t="s">
        <v>21</v>
      </c>
      <c r="S49">
        <f>IF(R49="粉砂质泥岩",0,IF(R49="暗色泥岩",1,IF(R49="非均质砂岩",2,IF(R49="均质砂岩",3,IF(R49="黑色页岩",4,IF(R49="凝灰岩",5,""))))))</f>
        <v>2</v>
      </c>
    </row>
    <row r="50" spans="1:19" x14ac:dyDescent="0.2">
      <c r="A50" t="s">
        <v>26</v>
      </c>
      <c r="B50">
        <v>1267.5633</v>
      </c>
      <c r="C50">
        <v>1270.2726</v>
      </c>
      <c r="D50">
        <v>59.770297169999999</v>
      </c>
      <c r="E50">
        <v>3.0301694349999999</v>
      </c>
      <c r="F50">
        <v>131.78456510000001</v>
      </c>
      <c r="G50">
        <v>34.273407310000003</v>
      </c>
      <c r="H50">
        <v>31.795283189999999</v>
      </c>
      <c r="I50">
        <v>31.35004765</v>
      </c>
      <c r="J50">
        <v>31.309962729999999</v>
      </c>
      <c r="K50">
        <v>30.86267587</v>
      </c>
      <c r="L50">
        <v>238.48365319999999</v>
      </c>
      <c r="M50">
        <v>20.911926439999998</v>
      </c>
      <c r="N50">
        <v>2.620201453</v>
      </c>
      <c r="O50">
        <v>-0.109062249</v>
      </c>
      <c r="P50">
        <v>0.40892282499999999</v>
      </c>
      <c r="Q50" t="s">
        <v>19</v>
      </c>
      <c r="R50" t="s">
        <v>22</v>
      </c>
      <c r="S50">
        <f>IF(R50="粉砂质泥岩",0,IF(R50="暗色泥岩",1,IF(R50="非均质砂岩",2,IF(R50="均质砂岩",3,IF(R50="黑色页岩",4,IF(R50="凝灰岩",5,""))))))</f>
        <v>0</v>
      </c>
    </row>
    <row r="51" spans="1:19" x14ac:dyDescent="0.2">
      <c r="A51" t="s">
        <v>26</v>
      </c>
      <c r="B51">
        <v>1270.2726</v>
      </c>
      <c r="C51">
        <v>1271.2225000000001</v>
      </c>
      <c r="D51">
        <v>61.036196390000001</v>
      </c>
      <c r="E51">
        <v>2.9783428249999999</v>
      </c>
      <c r="F51">
        <v>93.069769969999996</v>
      </c>
      <c r="G51">
        <v>128.5219099</v>
      </c>
      <c r="H51">
        <v>82.697173219999996</v>
      </c>
      <c r="I51">
        <v>69.941373609999999</v>
      </c>
      <c r="J51">
        <v>67.04418733</v>
      </c>
      <c r="K51">
        <v>65.314094119999993</v>
      </c>
      <c r="L51">
        <v>201.08465749999999</v>
      </c>
      <c r="M51">
        <v>12.322302179999999</v>
      </c>
      <c r="N51">
        <v>2.6717753150000001</v>
      </c>
      <c r="O51">
        <v>1.1291828E-2</v>
      </c>
      <c r="P51">
        <v>0.21534884800000001</v>
      </c>
      <c r="Q51" t="s">
        <v>19</v>
      </c>
      <c r="R51" t="s">
        <v>21</v>
      </c>
      <c r="S51">
        <f>IF(R51="粉砂质泥岩",0,IF(R51="暗色泥岩",1,IF(R51="非均质砂岩",2,IF(R51="均质砂岩",3,IF(R51="黑色页岩",4,IF(R51="凝灰岩",5,""))))))</f>
        <v>2</v>
      </c>
    </row>
    <row r="52" spans="1:19" x14ac:dyDescent="0.2">
      <c r="A52" t="s">
        <v>26</v>
      </c>
      <c r="B52">
        <v>1271.2225000000001</v>
      </c>
      <c r="C52">
        <v>1272.3712</v>
      </c>
      <c r="D52">
        <v>60.240549850000001</v>
      </c>
      <c r="E52">
        <v>2.716592431</v>
      </c>
      <c r="F52">
        <v>116.4100418</v>
      </c>
      <c r="G52">
        <v>59.239197539999999</v>
      </c>
      <c r="H52">
        <v>44.652492520000003</v>
      </c>
      <c r="I52">
        <v>39.421401209999999</v>
      </c>
      <c r="J52">
        <v>38.328233910000002</v>
      </c>
      <c r="K52">
        <v>36.508378790000002</v>
      </c>
      <c r="L52">
        <v>218.91119689999999</v>
      </c>
      <c r="M52">
        <v>18.089126109999999</v>
      </c>
      <c r="N52">
        <v>2.6288393019999998</v>
      </c>
      <c r="O52">
        <v>-3.1101739999999999E-2</v>
      </c>
      <c r="P52">
        <v>0.33205020899999999</v>
      </c>
      <c r="Q52" t="s">
        <v>19</v>
      </c>
      <c r="R52" t="s">
        <v>22</v>
      </c>
      <c r="S52">
        <f>IF(R52="粉砂质泥岩",0,IF(R52="暗色泥岩",1,IF(R52="非均质砂岩",2,IF(R52="均质砂岩",3,IF(R52="黑色页岩",4,IF(R52="凝灰岩",5,""))))))</f>
        <v>0</v>
      </c>
    </row>
    <row r="53" spans="1:19" x14ac:dyDescent="0.2">
      <c r="A53" t="s">
        <v>26</v>
      </c>
      <c r="B53">
        <v>1272.3712</v>
      </c>
      <c r="C53">
        <v>1278.6025</v>
      </c>
      <c r="D53">
        <v>57.241383800000001</v>
      </c>
      <c r="E53">
        <v>2.5989753360000001</v>
      </c>
      <c r="F53">
        <v>99.782754190000006</v>
      </c>
      <c r="G53">
        <v>45.664637550000002</v>
      </c>
      <c r="H53">
        <v>42.649695000000001</v>
      </c>
      <c r="I53">
        <v>43.365474849999998</v>
      </c>
      <c r="J53">
        <v>44.054606190000001</v>
      </c>
      <c r="K53">
        <v>44.217844419999999</v>
      </c>
      <c r="L53">
        <v>229.66646950000001</v>
      </c>
      <c r="M53">
        <v>17.394846340000001</v>
      </c>
      <c r="N53">
        <v>2.5736323099999998</v>
      </c>
      <c r="O53">
        <v>1.1849319000000001E-2</v>
      </c>
      <c r="P53">
        <v>0.24891377000000001</v>
      </c>
      <c r="Q53" t="s">
        <v>19</v>
      </c>
      <c r="R53" t="s">
        <v>21</v>
      </c>
      <c r="S53">
        <f>IF(R53="粉砂质泥岩",0,IF(R53="暗色泥岩",1,IF(R53="非均质砂岩",2,IF(R53="均质砂岩",3,IF(R53="黑色页岩",4,IF(R53="凝灰岩",5,""))))))</f>
        <v>2</v>
      </c>
    </row>
    <row r="54" spans="1:19" x14ac:dyDescent="0.2">
      <c r="A54" t="s">
        <v>26</v>
      </c>
      <c r="B54">
        <v>1278.6025</v>
      </c>
      <c r="C54">
        <v>1280.2959000000001</v>
      </c>
      <c r="D54">
        <v>59.872012580000003</v>
      </c>
      <c r="E54">
        <v>3.0937817889999999</v>
      </c>
      <c r="F54">
        <v>131.75246229999999</v>
      </c>
      <c r="G54">
        <v>26.44186478</v>
      </c>
      <c r="H54">
        <v>27.158072789999999</v>
      </c>
      <c r="I54">
        <v>28.020403160000001</v>
      </c>
      <c r="J54">
        <v>28.727364730000001</v>
      </c>
      <c r="K54">
        <v>29.073331069999998</v>
      </c>
      <c r="L54">
        <v>233.56993199999999</v>
      </c>
      <c r="M54">
        <v>20.90617778</v>
      </c>
      <c r="N54">
        <v>2.6585693359999998</v>
      </c>
      <c r="O54">
        <v>-9.8850632999999993E-2</v>
      </c>
      <c r="P54">
        <v>0.40876231600000001</v>
      </c>
      <c r="Q54" t="s">
        <v>19</v>
      </c>
      <c r="R54" t="s">
        <v>22</v>
      </c>
      <c r="S54">
        <f>IF(R54="粉砂质泥岩",0,IF(R54="暗色泥岩",1,IF(R54="非均质砂岩",2,IF(R54="均质砂岩",3,IF(R54="黑色页岩",4,IF(R54="凝灰岩",5,""))))))</f>
        <v>0</v>
      </c>
    </row>
    <row r="55" spans="1:19" x14ac:dyDescent="0.2">
      <c r="A55" t="s">
        <v>26</v>
      </c>
      <c r="B55">
        <v>1280.2959000000001</v>
      </c>
      <c r="C55">
        <v>1285.1724999999999</v>
      </c>
      <c r="D55">
        <v>58.443066979999998</v>
      </c>
      <c r="E55">
        <v>2.7578902300000001</v>
      </c>
      <c r="F55">
        <v>100.5406839</v>
      </c>
      <c r="G55">
        <v>42.360012150000003</v>
      </c>
      <c r="H55">
        <v>39.321803899999999</v>
      </c>
      <c r="I55">
        <v>39.922521070000002</v>
      </c>
      <c r="J55">
        <v>40.411638070000002</v>
      </c>
      <c r="K55">
        <v>40.660164829999999</v>
      </c>
      <c r="L55">
        <v>227.0097988</v>
      </c>
      <c r="M55">
        <v>17.254367070000001</v>
      </c>
      <c r="N55">
        <v>2.5904288050000002</v>
      </c>
      <c r="O55">
        <v>1.6710334E-2</v>
      </c>
      <c r="P55">
        <v>0.25270341899999998</v>
      </c>
      <c r="Q55" t="s">
        <v>19</v>
      </c>
      <c r="R55" t="s">
        <v>21</v>
      </c>
      <c r="S55">
        <f>IF(R55="粉砂质泥岩",0,IF(R55="暗色泥岩",1,IF(R55="非均质砂岩",2,IF(R55="均质砂岩",3,IF(R55="黑色页岩",4,IF(R55="凝灰岩",5,""))))))</f>
        <v>2</v>
      </c>
    </row>
    <row r="56" spans="1:19" x14ac:dyDescent="0.2">
      <c r="A56" t="s">
        <v>26</v>
      </c>
      <c r="B56">
        <v>1285.1724999999999</v>
      </c>
      <c r="C56">
        <v>1285.9177</v>
      </c>
      <c r="D56">
        <v>59.82295336</v>
      </c>
      <c r="E56">
        <v>2.7513770040000001</v>
      </c>
      <c r="F56">
        <v>127.75682070000001</v>
      </c>
      <c r="G56">
        <v>26.985997340000001</v>
      </c>
      <c r="H56">
        <v>26.285878319999998</v>
      </c>
      <c r="I56">
        <v>26.589119499999999</v>
      </c>
      <c r="J56">
        <v>26.93877629</v>
      </c>
      <c r="K56">
        <v>27.1342392</v>
      </c>
      <c r="L56">
        <v>243.78886850000001</v>
      </c>
      <c r="M56">
        <v>23.353813169999999</v>
      </c>
      <c r="N56">
        <v>2.5769590990000002</v>
      </c>
      <c r="O56">
        <v>-7.4865113999999996E-2</v>
      </c>
      <c r="P56">
        <v>0.38878410200000002</v>
      </c>
      <c r="Q56" t="s">
        <v>19</v>
      </c>
      <c r="R56" t="s">
        <v>22</v>
      </c>
      <c r="S56">
        <f>IF(R56="粉砂质泥岩",0,IF(R56="暗色泥岩",1,IF(R56="非均质砂岩",2,IF(R56="均质砂岩",3,IF(R56="黑色页岩",4,IF(R56="凝灰岩",5,""))))))</f>
        <v>0</v>
      </c>
    </row>
    <row r="57" spans="1:19" x14ac:dyDescent="0.2">
      <c r="A57" t="s">
        <v>26</v>
      </c>
      <c r="B57">
        <v>1285.9177</v>
      </c>
      <c r="C57">
        <v>1288.2882999999999</v>
      </c>
      <c r="D57">
        <v>60.998182870000001</v>
      </c>
      <c r="E57">
        <v>2.5841049310000002</v>
      </c>
      <c r="F57">
        <v>96.950324249999994</v>
      </c>
      <c r="G57">
        <v>37.679388430000003</v>
      </c>
      <c r="H57">
        <v>37.811410240000001</v>
      </c>
      <c r="I57">
        <v>39.209376140000003</v>
      </c>
      <c r="J57">
        <v>40.595346739999997</v>
      </c>
      <c r="K57">
        <v>41.284337620000002</v>
      </c>
      <c r="L57">
        <v>236.29236299999999</v>
      </c>
      <c r="M57">
        <v>19.21615877</v>
      </c>
      <c r="N57">
        <v>2.5467542769999998</v>
      </c>
      <c r="O57">
        <v>-8.6484860000000004E-3</v>
      </c>
      <c r="P57">
        <v>0.23475162199999999</v>
      </c>
      <c r="Q57" t="s">
        <v>19</v>
      </c>
      <c r="R57" t="s">
        <v>23</v>
      </c>
      <c r="S57">
        <f>IF(R57="粉砂质泥岩",0,IF(R57="暗色泥岩",1,IF(R57="非均质砂岩",2,IF(R57="均质砂岩",3,IF(R57="黑色页岩",4,IF(R57="凝灰岩",5,""))))))</f>
        <v>3</v>
      </c>
    </row>
    <row r="58" spans="1:19" x14ac:dyDescent="0.2">
      <c r="A58" t="s">
        <v>26</v>
      </c>
      <c r="B58">
        <v>1288.2882999999999</v>
      </c>
      <c r="C58">
        <v>1289.2364</v>
      </c>
      <c r="D58">
        <v>61.220158470000001</v>
      </c>
      <c r="E58">
        <v>2.8614917599999998</v>
      </c>
      <c r="F58">
        <v>121.11928899999999</v>
      </c>
      <c r="G58">
        <v>28.2950503</v>
      </c>
      <c r="H58">
        <v>28.443830699999999</v>
      </c>
      <c r="I58">
        <v>29.086284639999999</v>
      </c>
      <c r="J58">
        <v>29.409093009999999</v>
      </c>
      <c r="K58">
        <v>29.632257249999999</v>
      </c>
      <c r="L58">
        <v>229.60112340000001</v>
      </c>
      <c r="M58">
        <v>20.204799439999999</v>
      </c>
      <c r="N58">
        <v>2.6434333849999998</v>
      </c>
      <c r="O58">
        <v>-6.0488915999999997E-2</v>
      </c>
      <c r="P58">
        <v>0.35559644600000001</v>
      </c>
      <c r="Q58" t="s">
        <v>19</v>
      </c>
      <c r="R58" t="s">
        <v>22</v>
      </c>
      <c r="S58">
        <f>IF(R58="粉砂质泥岩",0,IF(R58="暗色泥岩",1,IF(R58="非均质砂岩",2,IF(R58="均质砂岩",3,IF(R58="黑色页岩",4,IF(R58="凝灰岩",5,""))))))</f>
        <v>0</v>
      </c>
    </row>
    <row r="59" spans="1:19" x14ac:dyDescent="0.2">
      <c r="A59" t="s">
        <v>26</v>
      </c>
      <c r="B59">
        <v>1289.2364</v>
      </c>
      <c r="C59">
        <v>1291.4039</v>
      </c>
      <c r="D59">
        <v>61.513956069999999</v>
      </c>
      <c r="E59">
        <v>2.974770361</v>
      </c>
      <c r="F59">
        <v>100.9152086</v>
      </c>
      <c r="G59">
        <v>33.959957760000002</v>
      </c>
      <c r="H59">
        <v>34.912472719999997</v>
      </c>
      <c r="I59">
        <v>35.882405390000002</v>
      </c>
      <c r="J59">
        <v>36.260007330000001</v>
      </c>
      <c r="K59">
        <v>36.65701559</v>
      </c>
      <c r="L59">
        <v>219.84650339999999</v>
      </c>
      <c r="M59">
        <v>18.027195720000002</v>
      </c>
      <c r="N59">
        <v>2.6525396510000001</v>
      </c>
      <c r="O59">
        <v>4.7765480000000003E-3</v>
      </c>
      <c r="P59">
        <v>0.25457604299999997</v>
      </c>
      <c r="Q59" t="s">
        <v>19</v>
      </c>
      <c r="R59" t="s">
        <v>21</v>
      </c>
      <c r="S59">
        <f>IF(R59="粉砂质泥岩",0,IF(R59="暗色泥岩",1,IF(R59="非均质砂岩",2,IF(R59="均质砂岩",3,IF(R59="黑色页岩",4,IF(R59="凝灰岩",5,""))))))</f>
        <v>2</v>
      </c>
    </row>
    <row r="60" spans="1:19" x14ac:dyDescent="0.2">
      <c r="A60" t="s">
        <v>26</v>
      </c>
      <c r="B60">
        <v>1291.4039</v>
      </c>
      <c r="C60">
        <v>1292.5553</v>
      </c>
      <c r="D60">
        <v>61.823893740000003</v>
      </c>
      <c r="E60">
        <v>2.9030838729999999</v>
      </c>
      <c r="F60">
        <v>122.36351620000001</v>
      </c>
      <c r="G60">
        <v>27.534666439999999</v>
      </c>
      <c r="H60">
        <v>27.805020899999999</v>
      </c>
      <c r="I60">
        <v>28.29576702</v>
      </c>
      <c r="J60">
        <v>28.994367220000001</v>
      </c>
      <c r="K60">
        <v>29.226254839999999</v>
      </c>
      <c r="L60">
        <v>231.68688660000001</v>
      </c>
      <c r="M60">
        <v>21.65751114</v>
      </c>
      <c r="N60">
        <v>2.6698260070000002</v>
      </c>
      <c r="O60">
        <v>-5.5156486999999997E-2</v>
      </c>
      <c r="P60">
        <v>0.361817579</v>
      </c>
      <c r="Q60" t="s">
        <v>19</v>
      </c>
      <c r="R60" t="s">
        <v>22</v>
      </c>
      <c r="S60">
        <f>IF(R60="粉砂质泥岩",0,IF(R60="暗色泥岩",1,IF(R60="非均质砂岩",2,IF(R60="均质砂岩",3,IF(R60="黑色页岩",4,IF(R60="凝灰岩",5,""))))))</f>
        <v>0</v>
      </c>
    </row>
    <row r="61" spans="1:19" x14ac:dyDescent="0.2">
      <c r="A61" t="s">
        <v>26</v>
      </c>
      <c r="B61">
        <v>1292.5553</v>
      </c>
      <c r="C61">
        <v>1294.6556</v>
      </c>
      <c r="D61">
        <v>60.289282270000001</v>
      </c>
      <c r="E61">
        <v>2.7966027389999999</v>
      </c>
      <c r="F61">
        <v>98.52837796</v>
      </c>
      <c r="G61">
        <v>35.569956670000003</v>
      </c>
      <c r="H61">
        <v>34.539667450000003</v>
      </c>
      <c r="I61">
        <v>35.17922592</v>
      </c>
      <c r="J61">
        <v>35.550774789999998</v>
      </c>
      <c r="K61">
        <v>36.10990365</v>
      </c>
      <c r="L61">
        <v>229.99173819999999</v>
      </c>
      <c r="M61">
        <v>19.25789812</v>
      </c>
      <c r="N61">
        <v>2.6307571329999999</v>
      </c>
      <c r="O61">
        <v>8.3011900000000004E-4</v>
      </c>
      <c r="P61">
        <v>0.242641892</v>
      </c>
      <c r="Q61" t="s">
        <v>19</v>
      </c>
      <c r="R61" t="s">
        <v>21</v>
      </c>
      <c r="S61">
        <f>IF(R61="粉砂质泥岩",0,IF(R61="暗色泥岩",1,IF(R61="非均质砂岩",2,IF(R61="均质砂岩",3,IF(R61="黑色页岩",4,IF(R61="凝灰岩",5,""))))))</f>
        <v>2</v>
      </c>
    </row>
    <row r="62" spans="1:19" x14ac:dyDescent="0.2">
      <c r="A62" t="s">
        <v>26</v>
      </c>
      <c r="B62">
        <v>1294.6556</v>
      </c>
      <c r="C62">
        <v>1298.0420999999999</v>
      </c>
      <c r="D62">
        <v>62.487670350000002</v>
      </c>
      <c r="E62">
        <v>3.489551885</v>
      </c>
      <c r="F62">
        <v>150.90551489999999</v>
      </c>
      <c r="G62">
        <v>23.326436139999998</v>
      </c>
      <c r="H62">
        <v>22.728991270000002</v>
      </c>
      <c r="I62">
        <v>22.98707168</v>
      </c>
      <c r="J62">
        <v>23.331766160000001</v>
      </c>
      <c r="K62">
        <v>23.538253919999999</v>
      </c>
      <c r="L62">
        <v>249.13029969999999</v>
      </c>
      <c r="M62">
        <v>27.140439099999998</v>
      </c>
      <c r="N62">
        <v>2.6719509019999999</v>
      </c>
      <c r="O62">
        <v>-0.13950928600000001</v>
      </c>
      <c r="P62">
        <v>0.50452757000000004</v>
      </c>
      <c r="Q62" t="s">
        <v>19</v>
      </c>
      <c r="R62" t="s">
        <v>20</v>
      </c>
      <c r="S62">
        <f>IF(R62="粉砂质泥岩",0,IF(R62="暗色泥岩",1,IF(R62="非均质砂岩",2,IF(R62="均质砂岩",3,IF(R62="黑色页岩",4,IF(R62="凝灰岩",5,""))))))</f>
        <v>1</v>
      </c>
    </row>
    <row r="63" spans="1:19" x14ac:dyDescent="0.2">
      <c r="A63" t="s">
        <v>26</v>
      </c>
      <c r="B63">
        <v>1298.0420999999999</v>
      </c>
      <c r="C63">
        <v>1301.2255</v>
      </c>
      <c r="D63">
        <v>61.62921583</v>
      </c>
      <c r="E63">
        <v>2.8352896429999999</v>
      </c>
      <c r="F63">
        <v>106.68784599999999</v>
      </c>
      <c r="G63">
        <v>36.778036780000001</v>
      </c>
      <c r="H63">
        <v>33.605644150000003</v>
      </c>
      <c r="I63">
        <v>33.8606318</v>
      </c>
      <c r="J63">
        <v>34.466186960000002</v>
      </c>
      <c r="K63">
        <v>34.738431560000002</v>
      </c>
      <c r="L63">
        <v>224.5512425</v>
      </c>
      <c r="M63">
        <v>20.623546749999999</v>
      </c>
      <c r="N63">
        <v>2.6643542230000001</v>
      </c>
      <c r="O63">
        <v>3.6582899999999998E-3</v>
      </c>
      <c r="P63">
        <v>0.28343922900000001</v>
      </c>
      <c r="Q63" t="s">
        <v>19</v>
      </c>
      <c r="R63" t="s">
        <v>22</v>
      </c>
      <c r="S63">
        <f>IF(R63="粉砂质泥岩",0,IF(R63="暗色泥岩",1,IF(R63="非均质砂岩",2,IF(R63="均质砂岩",3,IF(R63="黑色页岩",4,IF(R63="凝灰岩",5,""))))))</f>
        <v>0</v>
      </c>
    </row>
    <row r="64" spans="1:19" x14ac:dyDescent="0.2">
      <c r="A64" t="s">
        <v>26</v>
      </c>
      <c r="B64">
        <v>1301.2255</v>
      </c>
      <c r="C64">
        <v>1302.7152000000001</v>
      </c>
      <c r="D64">
        <v>62.899178429999999</v>
      </c>
      <c r="E64">
        <v>3.050969711</v>
      </c>
      <c r="F64">
        <v>91.082148630000006</v>
      </c>
      <c r="G64">
        <v>56.390617079999998</v>
      </c>
      <c r="H64">
        <v>48.72159679</v>
      </c>
      <c r="I64">
        <v>49.802612889999999</v>
      </c>
      <c r="J64">
        <v>51.373857200000003</v>
      </c>
      <c r="K64">
        <v>52.102996529999999</v>
      </c>
      <c r="L64">
        <v>215.14155579999999</v>
      </c>
      <c r="M64">
        <v>17.337180360000001</v>
      </c>
      <c r="N64">
        <v>2.6623737630000002</v>
      </c>
      <c r="O64">
        <v>3.2103907000000001E-2</v>
      </c>
      <c r="P64">
        <v>0.20541074400000001</v>
      </c>
      <c r="Q64" t="s">
        <v>19</v>
      </c>
      <c r="R64" t="s">
        <v>21</v>
      </c>
      <c r="S64">
        <f>IF(R64="粉砂质泥岩",0,IF(R64="暗色泥岩",1,IF(R64="非均质砂岩",2,IF(R64="均质砂岩",3,IF(R64="黑色页岩",4,IF(R64="凝灰岩",5,""))))))</f>
        <v>2</v>
      </c>
    </row>
    <row r="65" spans="1:19" x14ac:dyDescent="0.2">
      <c r="A65" t="s">
        <v>26</v>
      </c>
      <c r="B65">
        <v>1302.7152000000001</v>
      </c>
      <c r="C65">
        <v>1309.8949</v>
      </c>
      <c r="D65">
        <v>63.04088264</v>
      </c>
      <c r="E65">
        <v>3.0960212409999999</v>
      </c>
      <c r="F65">
        <v>127.18424880000001</v>
      </c>
      <c r="G65">
        <v>34.855523339999998</v>
      </c>
      <c r="H65">
        <v>33.631571110000003</v>
      </c>
      <c r="I65">
        <v>34.112063540000001</v>
      </c>
      <c r="J65">
        <v>34.591861919999999</v>
      </c>
      <c r="K65">
        <v>34.937677649999998</v>
      </c>
      <c r="L65">
        <v>236.99850169999999</v>
      </c>
      <c r="M65">
        <v>23.13951647</v>
      </c>
      <c r="N65">
        <v>2.6644205350000001</v>
      </c>
      <c r="O65">
        <v>-6.9576508999999995E-2</v>
      </c>
      <c r="P65">
        <v>0.385921246</v>
      </c>
      <c r="Q65" t="s">
        <v>19</v>
      </c>
      <c r="R65" t="s">
        <v>22</v>
      </c>
      <c r="S65">
        <f>IF(R65="粉砂质泥岩",0,IF(R65="暗色泥岩",1,IF(R65="非均质砂岩",2,IF(R65="均质砂岩",3,IF(R65="黑色页岩",4,IF(R65="凝灰岩",5,""))))))</f>
        <v>0</v>
      </c>
    </row>
    <row r="66" spans="1:19" x14ac:dyDescent="0.2">
      <c r="A66" t="s">
        <v>26</v>
      </c>
      <c r="B66">
        <v>1309.9625000000001</v>
      </c>
      <c r="C66">
        <v>1311.5182</v>
      </c>
      <c r="D66">
        <v>64.639214150000001</v>
      </c>
      <c r="E66">
        <v>3.2985851949999998</v>
      </c>
      <c r="F66">
        <v>246.5590856</v>
      </c>
      <c r="G66">
        <v>44.710473280000002</v>
      </c>
      <c r="H66">
        <v>45.516368569999997</v>
      </c>
      <c r="I66">
        <v>46.837320179999999</v>
      </c>
      <c r="J66">
        <v>47.861885950000001</v>
      </c>
      <c r="K66">
        <v>48.855918590000002</v>
      </c>
      <c r="L66">
        <v>294.7489741</v>
      </c>
      <c r="M66">
        <v>38.266595549999998</v>
      </c>
      <c r="N66">
        <v>2.46541291</v>
      </c>
      <c r="O66">
        <v>-0.15784716900000001</v>
      </c>
      <c r="P66">
        <v>0.98279543599999997</v>
      </c>
      <c r="Q66" t="s">
        <v>19</v>
      </c>
      <c r="R66" t="s">
        <v>25</v>
      </c>
      <c r="S66">
        <f>IF(R66="粉砂质泥岩",0,IF(R66="暗色泥岩",1,IF(R66="非均质砂岩",2,IF(R66="均质砂岩",3,IF(R66="黑色页岩",4,IF(R66="凝灰岩",5,""))))))</f>
        <v>4</v>
      </c>
    </row>
    <row r="67" spans="1:19" x14ac:dyDescent="0.2">
      <c r="A67" t="s">
        <v>26</v>
      </c>
      <c r="B67">
        <v>1311.5182</v>
      </c>
      <c r="C67">
        <v>1317.4093</v>
      </c>
      <c r="D67">
        <v>63.978824060000001</v>
      </c>
      <c r="E67">
        <v>3.118398622</v>
      </c>
      <c r="F67">
        <v>140.76273810000001</v>
      </c>
      <c r="G67">
        <v>39.76548751</v>
      </c>
      <c r="H67">
        <v>40.273265039999998</v>
      </c>
      <c r="I67">
        <v>41.49704766</v>
      </c>
      <c r="J67">
        <v>43.603322589999998</v>
      </c>
      <c r="K67">
        <v>44.711548649999997</v>
      </c>
      <c r="L67">
        <v>244.9092627</v>
      </c>
      <c r="M67">
        <v>28.416443510000001</v>
      </c>
      <c r="N67">
        <v>2.642306944</v>
      </c>
      <c r="O67">
        <v>-9.0683603000000002E-2</v>
      </c>
      <c r="P67">
        <v>0.45381368999999999</v>
      </c>
      <c r="Q67" t="s">
        <v>19</v>
      </c>
      <c r="R67" t="s">
        <v>22</v>
      </c>
      <c r="S67">
        <f>IF(R67="粉砂质泥岩",0,IF(R67="暗色泥岩",1,IF(R67="非均质砂岩",2,IF(R67="均质砂岩",3,IF(R67="黑色页岩",4,IF(R67="凝灰岩",5,""))))))</f>
        <v>0</v>
      </c>
    </row>
    <row r="68" spans="1:19" x14ac:dyDescent="0.2">
      <c r="A68" t="s">
        <v>26</v>
      </c>
      <c r="B68">
        <v>1317.4093</v>
      </c>
      <c r="C68">
        <v>1328.855</v>
      </c>
      <c r="D68">
        <v>66.969571880000004</v>
      </c>
      <c r="E68">
        <v>3.3258992159999998</v>
      </c>
      <c r="F68">
        <v>374.92242579999998</v>
      </c>
      <c r="G68">
        <v>172.93824520000001</v>
      </c>
      <c r="H68">
        <v>143.2742332</v>
      </c>
      <c r="I68">
        <v>154.98423650000001</v>
      </c>
      <c r="J68">
        <v>177.40081839999999</v>
      </c>
      <c r="K68">
        <v>201.0732658</v>
      </c>
      <c r="L68">
        <v>344.92080290000001</v>
      </c>
      <c r="M68">
        <v>42.711445609999998</v>
      </c>
      <c r="N68">
        <v>2.2978143559999999</v>
      </c>
      <c r="O68">
        <v>-0.22236157500000001</v>
      </c>
      <c r="P68">
        <v>1.6246121309999999</v>
      </c>
      <c r="Q68" t="s">
        <v>19</v>
      </c>
      <c r="R68" t="s">
        <v>25</v>
      </c>
      <c r="S68">
        <f>IF(R68="粉砂质泥岩",0,IF(R68="暗色泥岩",1,IF(R68="非均质砂岩",2,IF(R68="均质砂岩",3,IF(R68="黑色页岩",4,IF(R68="凝灰岩",5,""))))))</f>
        <v>4</v>
      </c>
    </row>
    <row r="69" spans="1:19" x14ac:dyDescent="0.2">
      <c r="A69" t="s">
        <v>26</v>
      </c>
      <c r="B69">
        <v>1328.855</v>
      </c>
      <c r="C69">
        <v>1331.9694999999999</v>
      </c>
      <c r="D69">
        <v>62.881667059999998</v>
      </c>
      <c r="E69">
        <v>2.8354441750000001</v>
      </c>
      <c r="F69">
        <v>163.03455500000001</v>
      </c>
      <c r="G69">
        <v>281.99117039999999</v>
      </c>
      <c r="H69">
        <v>159.37452709999999</v>
      </c>
      <c r="I69">
        <v>181.03183060000001</v>
      </c>
      <c r="J69">
        <v>205.68425189999999</v>
      </c>
      <c r="K69">
        <v>181.16908219999999</v>
      </c>
      <c r="L69">
        <v>249.17753429999999</v>
      </c>
      <c r="M69">
        <v>21.6263738</v>
      </c>
      <c r="N69">
        <v>2.5140367650000002</v>
      </c>
      <c r="O69">
        <v>5.7751269999999997E-3</v>
      </c>
      <c r="P69">
        <v>0.56517277399999999</v>
      </c>
      <c r="Q69" t="s">
        <v>19</v>
      </c>
      <c r="R69" t="s">
        <v>21</v>
      </c>
      <c r="S69">
        <f>IF(R69="粉砂质泥岩",0,IF(R69="暗色泥岩",1,IF(R69="非均质砂岩",2,IF(R69="均质砂岩",3,IF(R69="黑色页岩",4,IF(R69="凝灰岩",5,""))))))</f>
        <v>2</v>
      </c>
    </row>
    <row r="70" spans="1:19" x14ac:dyDescent="0.2">
      <c r="A70" t="s">
        <v>26</v>
      </c>
      <c r="B70">
        <v>1331.9694999999999</v>
      </c>
      <c r="C70">
        <v>1333.8126</v>
      </c>
      <c r="D70">
        <v>61.093021149999998</v>
      </c>
      <c r="E70">
        <v>2.5145699380000002</v>
      </c>
      <c r="F70">
        <v>195.1044426</v>
      </c>
      <c r="G70">
        <v>25.11222631</v>
      </c>
      <c r="H70">
        <v>28.692436220000001</v>
      </c>
      <c r="I70">
        <v>30.110639930000001</v>
      </c>
      <c r="J70">
        <v>30.889606950000001</v>
      </c>
      <c r="K70">
        <v>31.098151680000001</v>
      </c>
      <c r="L70">
        <v>272.11964890000002</v>
      </c>
      <c r="M70">
        <v>26.47525585</v>
      </c>
      <c r="N70">
        <v>2.4835745839999999</v>
      </c>
      <c r="O70">
        <v>-0.21050350000000001</v>
      </c>
      <c r="P70">
        <v>0.72552221500000003</v>
      </c>
      <c r="Q70" t="s">
        <v>19</v>
      </c>
      <c r="R70" t="s">
        <v>24</v>
      </c>
      <c r="S70">
        <f>IF(R70="粉砂质泥岩",0,IF(R70="暗色泥岩",1,IF(R70="非均质砂岩",2,IF(R70="均质砂岩",3,IF(R70="黑色页岩",4,IF(R70="凝灰岩",5,""))))))</f>
        <v>5</v>
      </c>
    </row>
    <row r="71" spans="1:19" x14ac:dyDescent="0.2">
      <c r="A71" t="s">
        <v>27</v>
      </c>
      <c r="B71">
        <v>1754.4630999999999</v>
      </c>
      <c r="C71">
        <v>1757.8313000000001</v>
      </c>
      <c r="D71">
        <v>88.237362180000005</v>
      </c>
      <c r="E71">
        <v>2.7814811979999998</v>
      </c>
      <c r="F71">
        <v>192.69397570000001</v>
      </c>
      <c r="G71">
        <v>14.32165095</v>
      </c>
      <c r="H71">
        <v>14.691042899999999</v>
      </c>
      <c r="I71">
        <v>15.173439780000001</v>
      </c>
      <c r="J71">
        <v>15.304813149999999</v>
      </c>
      <c r="K71">
        <v>15.160736630000001</v>
      </c>
      <c r="L71">
        <v>256.47948179999997</v>
      </c>
      <c r="M71">
        <v>24.73764413</v>
      </c>
      <c r="N71">
        <v>2.5462926370000001</v>
      </c>
      <c r="O71">
        <v>-0.20616056399999999</v>
      </c>
      <c r="P71">
        <v>0.71346988</v>
      </c>
      <c r="Q71" t="s">
        <v>19</v>
      </c>
      <c r="R71" t="s">
        <v>20</v>
      </c>
      <c r="S71">
        <f>IF(R71="粉砂质泥岩",0,IF(R71="暗色泥岩",1,IF(R71="非均质砂岩",2,IF(R71="均质砂岩",3,IF(R71="黑色页岩",4,IF(R71="凝灰岩",5,""))))))</f>
        <v>1</v>
      </c>
    </row>
    <row r="72" spans="1:19" x14ac:dyDescent="0.2">
      <c r="A72" t="s">
        <v>27</v>
      </c>
      <c r="B72">
        <v>1757.8313000000001</v>
      </c>
      <c r="C72">
        <v>1759.6953000000001</v>
      </c>
      <c r="D72">
        <v>77.189819810000003</v>
      </c>
      <c r="E72">
        <v>3.1778073610000002</v>
      </c>
      <c r="F72">
        <v>125.94623180000001</v>
      </c>
      <c r="G72">
        <v>34.017953990000002</v>
      </c>
      <c r="H72">
        <v>30.597463609999998</v>
      </c>
      <c r="I72">
        <v>31.706166979999999</v>
      </c>
      <c r="J72">
        <v>32.014650580000001</v>
      </c>
      <c r="K72">
        <v>31.097458240000002</v>
      </c>
      <c r="L72">
        <v>248.01072980000001</v>
      </c>
      <c r="M72">
        <v>21.202130440000001</v>
      </c>
      <c r="N72">
        <v>2.5615520630000002</v>
      </c>
      <c r="O72">
        <v>-9.4198794000000002E-2</v>
      </c>
      <c r="P72">
        <v>0.37973115600000001</v>
      </c>
      <c r="Q72" t="s">
        <v>19</v>
      </c>
      <c r="R72" t="s">
        <v>22</v>
      </c>
      <c r="S72">
        <f>IF(R72="粉砂质泥岩",0,IF(R72="暗色泥岩",1,IF(R72="非均质砂岩",2,IF(R72="均质砂岩",3,IF(R72="黑色页岩",4,IF(R72="凝灰岩",5,""))))))</f>
        <v>0</v>
      </c>
    </row>
    <row r="73" spans="1:19" x14ac:dyDescent="0.2">
      <c r="A73" t="s">
        <v>27</v>
      </c>
      <c r="B73">
        <v>1759.6953000000001</v>
      </c>
      <c r="C73">
        <v>1761.9368999999999</v>
      </c>
      <c r="D73">
        <v>71.6650226</v>
      </c>
      <c r="E73">
        <v>2.8667330870000001</v>
      </c>
      <c r="F73">
        <v>93.801780699999995</v>
      </c>
      <c r="G73">
        <v>49.101732300000002</v>
      </c>
      <c r="H73">
        <v>40.854871799999998</v>
      </c>
      <c r="I73">
        <v>41.392363799999998</v>
      </c>
      <c r="J73">
        <v>41.962105800000003</v>
      </c>
      <c r="K73">
        <v>41.373397070000003</v>
      </c>
      <c r="L73">
        <v>236.4791051</v>
      </c>
      <c r="M73">
        <v>17.191425420000002</v>
      </c>
      <c r="N73">
        <v>2.5534760699999999</v>
      </c>
      <c r="O73">
        <v>-2.5252607999999999E-2</v>
      </c>
      <c r="P73">
        <v>0.219008903</v>
      </c>
      <c r="Q73" t="s">
        <v>19</v>
      </c>
      <c r="R73" t="s">
        <v>23</v>
      </c>
      <c r="S73">
        <f>IF(R73="粉砂质泥岩",0,IF(R73="暗色泥岩",1,IF(R73="非均质砂岩",2,IF(R73="均质砂岩",3,IF(R73="黑色页岩",4,IF(R73="凝灰岩",5,""))))))</f>
        <v>3</v>
      </c>
    </row>
    <row r="74" spans="1:19" x14ac:dyDescent="0.2">
      <c r="A74" t="s">
        <v>27</v>
      </c>
      <c r="B74">
        <v>1761.9368999999999</v>
      </c>
      <c r="C74">
        <v>1762.6990000000001</v>
      </c>
      <c r="D74">
        <v>72.406182430000001</v>
      </c>
      <c r="E74">
        <v>3.0434910909999999</v>
      </c>
      <c r="F74">
        <v>115.18367000000001</v>
      </c>
      <c r="G74">
        <v>20.2818331</v>
      </c>
      <c r="H74">
        <v>18.934982569999999</v>
      </c>
      <c r="I74">
        <v>20.050315860000001</v>
      </c>
      <c r="J74">
        <v>20.778490609999999</v>
      </c>
      <c r="K74">
        <v>20.621080129999999</v>
      </c>
      <c r="L74">
        <v>237.67218020000001</v>
      </c>
      <c r="M74">
        <v>21.002876830000002</v>
      </c>
      <c r="N74">
        <v>2.566453525</v>
      </c>
      <c r="O74">
        <v>-4.7297877000000002E-2</v>
      </c>
      <c r="P74">
        <v>0.325918351</v>
      </c>
      <c r="Q74" t="s">
        <v>19</v>
      </c>
      <c r="R74" t="s">
        <v>22</v>
      </c>
      <c r="S74">
        <f>IF(R74="粉砂质泥岩",0,IF(R74="暗色泥岩",1,IF(R74="非均质砂岩",2,IF(R74="均质砂岩",3,IF(R74="黑色页岩",4,IF(R74="凝灰岩",5,""))))))</f>
        <v>0</v>
      </c>
    </row>
    <row r="75" spans="1:19" x14ac:dyDescent="0.2">
      <c r="A75" t="s">
        <v>27</v>
      </c>
      <c r="B75">
        <v>1762.6990000000001</v>
      </c>
      <c r="C75">
        <v>1764.6039000000001</v>
      </c>
      <c r="D75">
        <v>72.813267229999994</v>
      </c>
      <c r="E75">
        <v>3.0022836179999999</v>
      </c>
      <c r="F75">
        <v>94.850864889999997</v>
      </c>
      <c r="G75">
        <v>60.794183250000003</v>
      </c>
      <c r="H75">
        <v>51.466554049999999</v>
      </c>
      <c r="I75">
        <v>54.075090889999998</v>
      </c>
      <c r="J75">
        <v>54.478338239999999</v>
      </c>
      <c r="K75">
        <v>52.91632843</v>
      </c>
      <c r="L75">
        <v>232.48298650000001</v>
      </c>
      <c r="M75">
        <v>18.544454810000001</v>
      </c>
      <c r="N75">
        <v>2.5284795170000001</v>
      </c>
      <c r="O75">
        <v>-6.308882E-3</v>
      </c>
      <c r="P75">
        <v>0.224254325</v>
      </c>
      <c r="Q75" t="s">
        <v>19</v>
      </c>
      <c r="R75" t="s">
        <v>21</v>
      </c>
      <c r="S75">
        <f>IF(R75="粉砂质泥岩",0,IF(R75="暗色泥岩",1,IF(R75="非均质砂岩",2,IF(R75="均质砂岩",3,IF(R75="黑色页岩",4,IF(R75="凝灰岩",5,""))))))</f>
        <v>2</v>
      </c>
    </row>
    <row r="76" spans="1:19" x14ac:dyDescent="0.2">
      <c r="A76" t="s">
        <v>27</v>
      </c>
      <c r="B76">
        <v>1764.6039000000001</v>
      </c>
      <c r="C76">
        <v>1766.9322</v>
      </c>
      <c r="D76">
        <v>74.144759750000006</v>
      </c>
      <c r="E76">
        <v>3.057034791</v>
      </c>
      <c r="F76">
        <v>107.38674930000001</v>
      </c>
      <c r="G76">
        <v>37.597926899999997</v>
      </c>
      <c r="H76">
        <v>34.492975139999999</v>
      </c>
      <c r="I76">
        <v>35.30658588</v>
      </c>
      <c r="J76">
        <v>34.838465120000002</v>
      </c>
      <c r="K76">
        <v>33.419488530000002</v>
      </c>
      <c r="L76">
        <v>229.49904100000001</v>
      </c>
      <c r="M76">
        <v>19.007647989999999</v>
      </c>
      <c r="N76">
        <v>2.6196154709999999</v>
      </c>
      <c r="O76">
        <v>-2.7152521999999998E-2</v>
      </c>
      <c r="P76">
        <v>0.28693374599999999</v>
      </c>
      <c r="Q76" t="s">
        <v>19</v>
      </c>
      <c r="R76" t="s">
        <v>22</v>
      </c>
      <c r="S76">
        <f>IF(R76="粉砂质泥岩",0,IF(R76="暗色泥岩",1,IF(R76="非均质砂岩",2,IF(R76="均质砂岩",3,IF(R76="黑色页岩",4,IF(R76="凝灰岩",5,""))))))</f>
        <v>0</v>
      </c>
    </row>
    <row r="77" spans="1:19" x14ac:dyDescent="0.2">
      <c r="A77" t="s">
        <v>27</v>
      </c>
      <c r="B77">
        <v>1766.9322</v>
      </c>
      <c r="C77">
        <v>1768.4145000000001</v>
      </c>
      <c r="D77">
        <v>71.553376420000006</v>
      </c>
      <c r="E77">
        <v>2.998664379</v>
      </c>
      <c r="F77">
        <v>98.231354350000004</v>
      </c>
      <c r="G77">
        <v>79.354689379999996</v>
      </c>
      <c r="H77">
        <v>57.424150609999998</v>
      </c>
      <c r="I77">
        <v>59.932972540000002</v>
      </c>
      <c r="J77">
        <v>58.790262660000003</v>
      </c>
      <c r="K77">
        <v>55.518819960000002</v>
      </c>
      <c r="L77">
        <v>225.7787476</v>
      </c>
      <c r="M77">
        <v>17.695159400000001</v>
      </c>
      <c r="N77">
        <v>2.5735413290000002</v>
      </c>
      <c r="O77">
        <v>-6.7014170000000003E-3</v>
      </c>
      <c r="P77">
        <v>0.24115676899999999</v>
      </c>
      <c r="Q77" t="s">
        <v>19</v>
      </c>
      <c r="R77" t="s">
        <v>21</v>
      </c>
      <c r="S77">
        <f>IF(R77="粉砂质泥岩",0,IF(R77="暗色泥岩",1,IF(R77="非均质砂岩",2,IF(R77="均质砂岩",3,IF(R77="黑色页岩",4,IF(R77="凝灰岩",5,""))))))</f>
        <v>2</v>
      </c>
    </row>
    <row r="78" spans="1:19" x14ac:dyDescent="0.2">
      <c r="A78" t="s">
        <v>27</v>
      </c>
      <c r="B78">
        <v>1768.4145000000001</v>
      </c>
      <c r="C78">
        <v>1769.0057999999999</v>
      </c>
      <c r="D78">
        <v>70.328152970000005</v>
      </c>
      <c r="E78">
        <v>2.9592571259999998</v>
      </c>
      <c r="F78">
        <v>108.21404769999999</v>
      </c>
      <c r="G78">
        <v>46.198792779999998</v>
      </c>
      <c r="H78">
        <v>35.966785430000002</v>
      </c>
      <c r="I78">
        <v>35.728567120000001</v>
      </c>
      <c r="J78">
        <v>35.226634339999997</v>
      </c>
      <c r="K78">
        <v>32.217737829999997</v>
      </c>
      <c r="L78">
        <v>225.96125029999999</v>
      </c>
      <c r="M78">
        <v>18.66714923</v>
      </c>
      <c r="N78">
        <v>2.5995212790000002</v>
      </c>
      <c r="O78">
        <v>-2.3276597E-2</v>
      </c>
      <c r="P78">
        <v>0.29107023999999998</v>
      </c>
      <c r="Q78" t="s">
        <v>19</v>
      </c>
      <c r="R78" t="s">
        <v>22</v>
      </c>
      <c r="S78">
        <f>IF(R78="粉砂质泥岩",0,IF(R78="暗色泥岩",1,IF(R78="非均质砂岩",2,IF(R78="均质砂岩",3,IF(R78="黑色页岩",4,IF(R78="凝灰岩",5,""))))))</f>
        <v>0</v>
      </c>
    </row>
    <row r="79" spans="1:19" x14ac:dyDescent="0.2">
      <c r="A79" t="s">
        <v>27</v>
      </c>
      <c r="B79">
        <v>1769.0057999999999</v>
      </c>
      <c r="C79">
        <v>1773.1550999999999</v>
      </c>
      <c r="D79">
        <v>69.548573210000001</v>
      </c>
      <c r="E79">
        <v>2.871599625</v>
      </c>
      <c r="F79">
        <v>93.05998477</v>
      </c>
      <c r="G79">
        <v>80.658787899999993</v>
      </c>
      <c r="H79">
        <v>60.376274219999999</v>
      </c>
      <c r="I79">
        <v>60.520925300000002</v>
      </c>
      <c r="J79">
        <v>59.19177706</v>
      </c>
      <c r="K79">
        <v>54.093603129999998</v>
      </c>
      <c r="L79">
        <v>217.62145860000001</v>
      </c>
      <c r="M79">
        <v>14.8399523</v>
      </c>
      <c r="N79">
        <v>2.5613595459999998</v>
      </c>
      <c r="O79">
        <v>-3.627562E-3</v>
      </c>
      <c r="P79">
        <v>0.215299924</v>
      </c>
      <c r="Q79" t="s">
        <v>19</v>
      </c>
      <c r="R79" t="s">
        <v>23</v>
      </c>
      <c r="S79">
        <f>IF(R79="粉砂质泥岩",0,IF(R79="暗色泥岩",1,IF(R79="非均质砂岩",2,IF(R79="均质砂岩",3,IF(R79="黑色页岩",4,IF(R79="凝灰岩",5,""))))))</f>
        <v>3</v>
      </c>
    </row>
    <row r="80" spans="1:19" x14ac:dyDescent="0.2">
      <c r="A80" t="s">
        <v>27</v>
      </c>
      <c r="B80">
        <v>1773.1550999999999</v>
      </c>
      <c r="C80">
        <v>1773.9169999999999</v>
      </c>
      <c r="D80">
        <v>78.577316280000005</v>
      </c>
      <c r="E80">
        <v>2.677295242</v>
      </c>
      <c r="F80">
        <v>114.6698281</v>
      </c>
      <c r="G80">
        <v>51.47830527</v>
      </c>
      <c r="H80">
        <v>41.928900579999997</v>
      </c>
      <c r="I80">
        <v>42.363783699999999</v>
      </c>
      <c r="J80">
        <v>41.355275290000002</v>
      </c>
      <c r="K80">
        <v>37.682719910000003</v>
      </c>
      <c r="L80">
        <v>229.34547420000001</v>
      </c>
      <c r="M80">
        <v>17.547717779999999</v>
      </c>
      <c r="N80">
        <v>2.5999526300000002</v>
      </c>
      <c r="O80">
        <v>-6.0152921999999998E-2</v>
      </c>
      <c r="P80">
        <v>0.32334914199999998</v>
      </c>
      <c r="Q80" t="s">
        <v>19</v>
      </c>
      <c r="R80" t="s">
        <v>22</v>
      </c>
      <c r="S80">
        <f>IF(R80="粉砂质泥岩",0,IF(R80="暗色泥岩",1,IF(R80="非均质砂岩",2,IF(R80="均质砂岩",3,IF(R80="黑色页岩",4,IF(R80="凝灰岩",5,""))))))</f>
        <v>0</v>
      </c>
    </row>
    <row r="81" spans="1:19" x14ac:dyDescent="0.2">
      <c r="A81" t="s">
        <v>27</v>
      </c>
      <c r="B81">
        <v>1773.9169999999999</v>
      </c>
      <c r="C81">
        <v>1775.3986</v>
      </c>
      <c r="D81">
        <v>80.598598190000004</v>
      </c>
      <c r="E81">
        <v>2.7806190709999998</v>
      </c>
      <c r="F81">
        <v>103.9815856</v>
      </c>
      <c r="G81">
        <v>77.130708549999994</v>
      </c>
      <c r="H81">
        <v>60.574103139999998</v>
      </c>
      <c r="I81">
        <v>62.266479199999999</v>
      </c>
      <c r="J81">
        <v>59.605277129999997</v>
      </c>
      <c r="K81">
        <v>55.071074850000002</v>
      </c>
      <c r="L81">
        <v>227.82064120000001</v>
      </c>
      <c r="M81">
        <v>16.38284999</v>
      </c>
      <c r="N81">
        <v>2.5649773159999998</v>
      </c>
      <c r="O81">
        <v>-3.2537285999999999E-2</v>
      </c>
      <c r="P81">
        <v>0.26990792600000002</v>
      </c>
      <c r="Q81" t="s">
        <v>19</v>
      </c>
      <c r="R81" t="s">
        <v>21</v>
      </c>
      <c r="S81">
        <f>IF(R81="粉砂质泥岩",0,IF(R81="暗色泥岩",1,IF(R81="非均质砂岩",2,IF(R81="均质砂岩",3,IF(R81="黑色页岩",4,IF(R81="凝灰岩",5,""))))))</f>
        <v>2</v>
      </c>
    </row>
    <row r="82" spans="1:19" x14ac:dyDescent="0.2">
      <c r="A82" t="s">
        <v>27</v>
      </c>
      <c r="B82">
        <v>1775.3986</v>
      </c>
      <c r="C82">
        <v>1776.3107</v>
      </c>
      <c r="D82">
        <v>80.197961809999995</v>
      </c>
      <c r="E82">
        <v>2.9561202820000001</v>
      </c>
      <c r="F82">
        <v>122.4975986</v>
      </c>
      <c r="G82">
        <v>43.377725120000001</v>
      </c>
      <c r="H82">
        <v>39.864262099999998</v>
      </c>
      <c r="I82">
        <v>40.079165940000003</v>
      </c>
      <c r="J82">
        <v>38.728613850000002</v>
      </c>
      <c r="K82">
        <v>36.172926660000002</v>
      </c>
      <c r="L82">
        <v>230.1641655</v>
      </c>
      <c r="M82">
        <v>20.26511812</v>
      </c>
      <c r="N82">
        <v>2.611698955</v>
      </c>
      <c r="O82">
        <v>-5.9780523000000002E-2</v>
      </c>
      <c r="P82">
        <v>0.36248799399999998</v>
      </c>
      <c r="Q82" t="s">
        <v>19</v>
      </c>
      <c r="R82" t="s">
        <v>22</v>
      </c>
      <c r="S82">
        <f>IF(R82="粉砂质泥岩",0,IF(R82="暗色泥岩",1,IF(R82="非均质砂岩",2,IF(R82="均质砂岩",3,IF(R82="黑色页岩",4,IF(R82="凝灰岩",5,""))))))</f>
        <v>0</v>
      </c>
    </row>
    <row r="83" spans="1:19" x14ac:dyDescent="0.2">
      <c r="A83" t="s">
        <v>27</v>
      </c>
      <c r="B83">
        <v>1776.3107</v>
      </c>
      <c r="C83">
        <v>1777.3157000000001</v>
      </c>
      <c r="D83">
        <v>75.382497150000006</v>
      </c>
      <c r="E83">
        <v>3.127029286</v>
      </c>
      <c r="F83">
        <v>179.50494130000001</v>
      </c>
      <c r="G83">
        <v>71.15919452</v>
      </c>
      <c r="H83">
        <v>54.39059872</v>
      </c>
      <c r="I83">
        <v>58.18539174</v>
      </c>
      <c r="J83">
        <v>54.813400270000002</v>
      </c>
      <c r="K83">
        <v>50.180009210000001</v>
      </c>
      <c r="L83">
        <v>248.2850766</v>
      </c>
      <c r="M83">
        <v>21.55662431</v>
      </c>
      <c r="N83">
        <v>2.589694712</v>
      </c>
      <c r="O83">
        <v>-0.177774709</v>
      </c>
      <c r="P83">
        <v>0.64752470500000003</v>
      </c>
      <c r="Q83" t="s">
        <v>19</v>
      </c>
      <c r="R83" t="s">
        <v>20</v>
      </c>
      <c r="S83">
        <f>IF(R83="粉砂质泥岩",0,IF(R83="暗色泥岩",1,IF(R83="非均质砂岩",2,IF(R83="均质砂岩",3,IF(R83="黑色页岩",4,IF(R83="凝灰岩",5,""))))))</f>
        <v>1</v>
      </c>
    </row>
    <row r="84" spans="1:19" x14ac:dyDescent="0.2">
      <c r="A84" t="s">
        <v>27</v>
      </c>
      <c r="B84">
        <v>1777.3157000000001</v>
      </c>
      <c r="C84">
        <v>1790.4691</v>
      </c>
      <c r="D84">
        <v>73.284537189999995</v>
      </c>
      <c r="E84">
        <v>2.7309933000000002</v>
      </c>
      <c r="F84">
        <v>89.201963820000003</v>
      </c>
      <c r="G84">
        <v>69.199028089999999</v>
      </c>
      <c r="H84">
        <v>61.825572999999999</v>
      </c>
      <c r="I84">
        <v>66.30287088</v>
      </c>
      <c r="J84">
        <v>62.836204199999997</v>
      </c>
      <c r="K84">
        <v>58.314883899999998</v>
      </c>
      <c r="L84">
        <v>218.43267130000001</v>
      </c>
      <c r="M84">
        <v>14.25110512</v>
      </c>
      <c r="N84">
        <v>2.5360736909999999</v>
      </c>
      <c r="O84">
        <v>-5.972074E-3</v>
      </c>
      <c r="P84">
        <v>0.196009819</v>
      </c>
      <c r="Q84" t="s">
        <v>19</v>
      </c>
      <c r="R84" t="s">
        <v>23</v>
      </c>
      <c r="S84">
        <f>IF(R84="粉砂质泥岩",0,IF(R84="暗色泥岩",1,IF(R84="非均质砂岩",2,IF(R84="均质砂岩",3,IF(R84="黑色页岩",4,IF(R84="凝灰岩",5,""))))))</f>
        <v>3</v>
      </c>
    </row>
    <row r="85" spans="1:19" x14ac:dyDescent="0.2">
      <c r="A85" t="s">
        <v>27</v>
      </c>
      <c r="B85">
        <v>1790.473</v>
      </c>
      <c r="C85">
        <v>1791.2668000000001</v>
      </c>
      <c r="D85">
        <v>83.916166029999999</v>
      </c>
      <c r="E85">
        <v>2.937720026</v>
      </c>
      <c r="F85">
        <v>169.35811290000001</v>
      </c>
      <c r="G85">
        <v>43.399254390000003</v>
      </c>
      <c r="H85">
        <v>47.274356300000001</v>
      </c>
      <c r="I85">
        <v>50.421681540000002</v>
      </c>
      <c r="J85">
        <v>47.980840960000002</v>
      </c>
      <c r="K85">
        <v>44.744900289999997</v>
      </c>
      <c r="L85">
        <v>245.55072680000001</v>
      </c>
      <c r="M85">
        <v>23.854454310000001</v>
      </c>
      <c r="N85">
        <v>2.5114028450000001</v>
      </c>
      <c r="O85">
        <v>-0.14434860999999999</v>
      </c>
      <c r="P85">
        <v>0.59679056900000005</v>
      </c>
      <c r="Q85" t="s">
        <v>19</v>
      </c>
      <c r="R85" t="s">
        <v>20</v>
      </c>
      <c r="S85">
        <f>IF(R85="粉砂质泥岩",0,IF(R85="暗色泥岩",1,IF(R85="非均质砂岩",2,IF(R85="均质砂岩",3,IF(R85="黑色页岩",4,IF(R85="凝灰岩",5,""))))))</f>
        <v>1</v>
      </c>
    </row>
    <row r="86" spans="1:19" x14ac:dyDescent="0.2">
      <c r="A86" t="s">
        <v>27</v>
      </c>
      <c r="B86">
        <v>1791.3197</v>
      </c>
      <c r="C86">
        <v>1792.3780999999999</v>
      </c>
      <c r="D86">
        <v>83.344512940000001</v>
      </c>
      <c r="E86">
        <v>2.7292112510000002</v>
      </c>
      <c r="F86">
        <v>94.168761360000005</v>
      </c>
      <c r="G86">
        <v>47.760936309999998</v>
      </c>
      <c r="H86">
        <v>55.727290680000003</v>
      </c>
      <c r="I86">
        <v>63.238227420000001</v>
      </c>
      <c r="J86">
        <v>57.366276210000002</v>
      </c>
      <c r="K86">
        <v>51.885128870000003</v>
      </c>
      <c r="L86">
        <v>220.2905189</v>
      </c>
      <c r="M86">
        <v>16.188897770000001</v>
      </c>
      <c r="N86">
        <v>2.549411906</v>
      </c>
      <c r="O86">
        <v>-6.308419E-3</v>
      </c>
      <c r="P86">
        <v>0.220843809</v>
      </c>
      <c r="Q86" t="s">
        <v>19</v>
      </c>
      <c r="R86" t="s">
        <v>23</v>
      </c>
      <c r="S86">
        <f>IF(R86="粉砂质泥岩",0,IF(R86="暗色泥岩",1,IF(R86="非均质砂岩",2,IF(R86="均质砂岩",3,IF(R86="黑色页岩",4,IF(R86="凝灰岩",5,""))))))</f>
        <v>3</v>
      </c>
    </row>
    <row r="87" spans="1:19" x14ac:dyDescent="0.2">
      <c r="A87" t="s">
        <v>27</v>
      </c>
      <c r="B87">
        <v>1792.3780999999999</v>
      </c>
      <c r="C87">
        <v>1793.1718000000001</v>
      </c>
      <c r="D87">
        <v>83.397891450000003</v>
      </c>
      <c r="E87">
        <v>2.943427835</v>
      </c>
      <c r="F87">
        <v>164.026353</v>
      </c>
      <c r="G87">
        <v>45.766378680000003</v>
      </c>
      <c r="H87">
        <v>54.739711219999997</v>
      </c>
      <c r="I87">
        <v>53.449665070000002</v>
      </c>
      <c r="J87">
        <v>50.295779639999999</v>
      </c>
      <c r="K87">
        <v>47.985644200000003</v>
      </c>
      <c r="L87">
        <v>245.24196520000001</v>
      </c>
      <c r="M87">
        <v>21.945082800000002</v>
      </c>
      <c r="N87">
        <v>2.5388352869999999</v>
      </c>
      <c r="O87">
        <v>-0.16032598000000001</v>
      </c>
      <c r="P87">
        <v>0.57013177000000004</v>
      </c>
      <c r="Q87" t="s">
        <v>19</v>
      </c>
      <c r="R87" t="s">
        <v>20</v>
      </c>
      <c r="S87">
        <f>IF(R87="粉砂质泥岩",0,IF(R87="暗色泥岩",1,IF(R87="非均质砂岩",2,IF(R87="均质砂岩",3,IF(R87="黑色页岩",4,IF(R87="凝灰岩",5,""))))))</f>
        <v>1</v>
      </c>
    </row>
    <row r="88" spans="1:19" x14ac:dyDescent="0.2">
      <c r="A88" t="s">
        <v>27</v>
      </c>
      <c r="B88">
        <v>1793.1718000000001</v>
      </c>
      <c r="C88">
        <v>1795.6054999999999</v>
      </c>
      <c r="D88">
        <v>86.064406590000004</v>
      </c>
      <c r="E88">
        <v>2.8144005179999998</v>
      </c>
      <c r="F88">
        <v>118.8973221</v>
      </c>
      <c r="G88">
        <v>65.91050224</v>
      </c>
      <c r="H88">
        <v>72.904658699999999</v>
      </c>
      <c r="I88">
        <v>85.364825819999993</v>
      </c>
      <c r="J88">
        <v>79.678351590000005</v>
      </c>
      <c r="K88">
        <v>75.163434789999997</v>
      </c>
      <c r="L88">
        <v>241.46943659999999</v>
      </c>
      <c r="M88">
        <v>22.15292912</v>
      </c>
      <c r="N88">
        <v>2.4958738920000001</v>
      </c>
      <c r="O88">
        <v>-3.4184222E-2</v>
      </c>
      <c r="P88">
        <v>0.344486611</v>
      </c>
      <c r="Q88" t="s">
        <v>19</v>
      </c>
      <c r="R88" t="s">
        <v>21</v>
      </c>
      <c r="S88">
        <f>IF(R88="粉砂质泥岩",0,IF(R88="暗色泥岩",1,IF(R88="非均质砂岩",2,IF(R88="均质砂岩",3,IF(R88="黑色页岩",4,IF(R88="凝灰岩",5,""))))))</f>
        <v>2</v>
      </c>
    </row>
    <row r="89" spans="1:19" x14ac:dyDescent="0.2">
      <c r="A89" t="s">
        <v>27</v>
      </c>
      <c r="B89">
        <v>1795.6054999999999</v>
      </c>
      <c r="C89">
        <v>1797.3521000000001</v>
      </c>
      <c r="D89">
        <v>87.983782959999999</v>
      </c>
      <c r="E89">
        <v>3.4305958749999999</v>
      </c>
      <c r="F89">
        <v>283.36529339999998</v>
      </c>
      <c r="G89">
        <v>51.811951190000002</v>
      </c>
      <c r="H89">
        <v>59.769272870000002</v>
      </c>
      <c r="I89">
        <v>76.046988679999998</v>
      </c>
      <c r="J89">
        <v>77.068125660000007</v>
      </c>
      <c r="K89">
        <v>74.749266309999996</v>
      </c>
      <c r="L89">
        <v>299.35003660000001</v>
      </c>
      <c r="M89">
        <v>41.820870339999999</v>
      </c>
      <c r="N89">
        <v>2.3817378520000001</v>
      </c>
      <c r="O89">
        <v>-0.12944545199999999</v>
      </c>
      <c r="P89">
        <v>1.166826479</v>
      </c>
      <c r="Q89" t="s">
        <v>19</v>
      </c>
      <c r="R89" t="s">
        <v>20</v>
      </c>
      <c r="S89">
        <f>IF(R89="粉砂质泥岩",0,IF(R89="暗色泥岩",1,IF(R89="非均质砂岩",2,IF(R89="均质砂岩",3,IF(R89="黑色页岩",4,IF(R89="凝灰岩",5,""))))))</f>
        <v>1</v>
      </c>
    </row>
    <row r="90" spans="1:19" x14ac:dyDescent="0.2">
      <c r="A90" t="s">
        <v>27</v>
      </c>
      <c r="B90">
        <v>1797.3521000000001</v>
      </c>
      <c r="C90">
        <v>1799.9979000000001</v>
      </c>
      <c r="D90">
        <v>79.586763899999994</v>
      </c>
      <c r="E90">
        <v>2.680866328</v>
      </c>
      <c r="F90">
        <v>129.11335270000001</v>
      </c>
      <c r="G90">
        <v>45.107279859999998</v>
      </c>
      <c r="H90">
        <v>57.956934799999999</v>
      </c>
      <c r="I90">
        <v>75.642389379999997</v>
      </c>
      <c r="J90">
        <v>78.865117850000004</v>
      </c>
      <c r="K90">
        <v>81.993872730000007</v>
      </c>
      <c r="L90">
        <v>262.90009029999999</v>
      </c>
      <c r="M90">
        <v>29.48194998</v>
      </c>
      <c r="N90">
        <v>2.4338488580000002</v>
      </c>
      <c r="O90">
        <v>2.1669346999999999E-2</v>
      </c>
      <c r="P90">
        <v>0.39556676099999999</v>
      </c>
      <c r="Q90" t="s">
        <v>19</v>
      </c>
      <c r="R90" t="s">
        <v>21</v>
      </c>
      <c r="S90">
        <f>IF(R90="粉砂质泥岩",0,IF(R90="暗色泥岩",1,IF(R90="非均质砂岩",2,IF(R90="均质砂岩",3,IF(R90="黑色页岩",4,IF(R90="凝灰岩",5,""))))))</f>
        <v>2</v>
      </c>
    </row>
    <row r="91" spans="1:19" x14ac:dyDescent="0.2">
      <c r="A91" t="s">
        <v>27</v>
      </c>
      <c r="B91">
        <v>1799.9979000000001</v>
      </c>
      <c r="C91">
        <v>1800.6329000000001</v>
      </c>
      <c r="D91">
        <v>74.615186059999999</v>
      </c>
      <c r="E91">
        <v>2.7636400459999999</v>
      </c>
      <c r="F91">
        <v>202.19313560000001</v>
      </c>
      <c r="G91">
        <v>58.041009899999999</v>
      </c>
      <c r="H91">
        <v>65.92590586</v>
      </c>
      <c r="I91">
        <v>75.754564920000007</v>
      </c>
      <c r="J91">
        <v>77.192783989999995</v>
      </c>
      <c r="K91">
        <v>77.826978679999996</v>
      </c>
      <c r="L91">
        <v>271.02401479999997</v>
      </c>
      <c r="M91">
        <v>32.545699759999998</v>
      </c>
      <c r="N91">
        <v>2.4575462340000001</v>
      </c>
      <c r="O91">
        <v>-6.5882205999999999E-2</v>
      </c>
      <c r="P91">
        <v>0.76096567999999998</v>
      </c>
      <c r="Q91" t="s">
        <v>19</v>
      </c>
      <c r="R91" t="s">
        <v>20</v>
      </c>
      <c r="S91">
        <f>IF(R91="粉砂质泥岩",0,IF(R91="暗色泥岩",1,IF(R91="非均质砂岩",2,IF(R91="均质砂岩",3,IF(R91="黑色页岩",4,IF(R91="凝灰岩",5,""))))))</f>
        <v>1</v>
      </c>
    </row>
    <row r="92" spans="1:19" x14ac:dyDescent="0.2">
      <c r="A92" t="s">
        <v>27</v>
      </c>
      <c r="B92">
        <v>1800.6329000000001</v>
      </c>
      <c r="C92">
        <v>1801.9028000000001</v>
      </c>
      <c r="D92">
        <v>76.008352799999997</v>
      </c>
      <c r="E92">
        <v>2.756187309</v>
      </c>
      <c r="F92">
        <v>127.87107640000001</v>
      </c>
      <c r="G92">
        <v>55.731647840000001</v>
      </c>
      <c r="H92">
        <v>59.985548710000003</v>
      </c>
      <c r="I92">
        <v>69.959094129999997</v>
      </c>
      <c r="J92">
        <v>70.209804360000007</v>
      </c>
      <c r="K92">
        <v>70.577851559999999</v>
      </c>
      <c r="L92">
        <v>252.25846859999999</v>
      </c>
      <c r="M92">
        <v>27.09163891</v>
      </c>
      <c r="N92">
        <v>2.4235761820000001</v>
      </c>
      <c r="O92">
        <v>1.4007466999999999E-2</v>
      </c>
      <c r="P92">
        <v>0.38935537799999997</v>
      </c>
      <c r="Q92" t="s">
        <v>19</v>
      </c>
      <c r="R92" t="s">
        <v>21</v>
      </c>
      <c r="S92">
        <f>IF(R92="粉砂质泥岩",0,IF(R92="暗色泥岩",1,IF(R92="非均质砂岩",2,IF(R92="均质砂岩",3,IF(R92="黑色页岩",4,IF(R92="凝灰岩",5,""))))))</f>
        <v>2</v>
      </c>
    </row>
    <row r="93" spans="1:19" x14ac:dyDescent="0.2">
      <c r="A93" t="s">
        <v>27</v>
      </c>
      <c r="B93">
        <v>1801.9028000000001</v>
      </c>
      <c r="C93">
        <v>1803.5974000000001</v>
      </c>
      <c r="D93">
        <v>84.362494909999995</v>
      </c>
      <c r="E93">
        <v>3.0867562290000001</v>
      </c>
      <c r="F93">
        <v>182.922935</v>
      </c>
      <c r="G93">
        <v>27.969977570000001</v>
      </c>
      <c r="H93">
        <v>36.303008519999999</v>
      </c>
      <c r="I93">
        <v>44.042046229999997</v>
      </c>
      <c r="J93">
        <v>50.884615580000002</v>
      </c>
      <c r="K93">
        <v>51.631939439999996</v>
      </c>
      <c r="L93">
        <v>258.36907960000002</v>
      </c>
      <c r="M93">
        <v>31.927752689999998</v>
      </c>
      <c r="N93">
        <v>2.4880841569999999</v>
      </c>
      <c r="O93">
        <v>-0.113296024</v>
      </c>
      <c r="P93">
        <v>0.66461466899999999</v>
      </c>
      <c r="Q93" t="s">
        <v>19</v>
      </c>
      <c r="R93" t="s">
        <v>20</v>
      </c>
      <c r="S93">
        <f>IF(R93="粉砂质泥岩",0,IF(R93="暗色泥岩",1,IF(R93="非均质砂岩",2,IF(R93="均质砂岩",3,IF(R93="黑色页岩",4,IF(R93="凝灰岩",5,""))))))</f>
        <v>1</v>
      </c>
    </row>
    <row r="94" spans="1:19" x14ac:dyDescent="0.2">
      <c r="A94" t="s">
        <v>27</v>
      </c>
      <c r="B94">
        <v>1803.5974000000001</v>
      </c>
      <c r="C94">
        <v>1805.9773</v>
      </c>
      <c r="D94">
        <v>93.887553409999995</v>
      </c>
      <c r="E94">
        <v>2.8165163519999998</v>
      </c>
      <c r="F94">
        <v>135.72360459999999</v>
      </c>
      <c r="G94">
        <v>41.747178269999999</v>
      </c>
      <c r="H94">
        <v>49.049046709999999</v>
      </c>
      <c r="I94">
        <v>55.034720800000002</v>
      </c>
      <c r="J94">
        <v>55.751111700000003</v>
      </c>
      <c r="K94">
        <v>55.176907249999999</v>
      </c>
      <c r="L94">
        <v>237.7459686</v>
      </c>
      <c r="M94">
        <v>24.865102480000001</v>
      </c>
      <c r="N94">
        <v>2.5046916370000001</v>
      </c>
      <c r="O94">
        <v>1.8225602E-2</v>
      </c>
      <c r="P94">
        <v>0.42861802100000002</v>
      </c>
      <c r="Q94" t="s">
        <v>19</v>
      </c>
      <c r="R94" t="s">
        <v>21</v>
      </c>
      <c r="S94">
        <f>IF(R94="粉砂质泥岩",0,IF(R94="暗色泥岩",1,IF(R94="非均质砂岩",2,IF(R94="均质砂岩",3,IF(R94="黑色页岩",4,IF(R94="凝灰岩",5,""))))))</f>
        <v>2</v>
      </c>
    </row>
    <row r="95" spans="1:19" x14ac:dyDescent="0.2">
      <c r="A95" t="s">
        <v>27</v>
      </c>
      <c r="B95">
        <v>1805.9773</v>
      </c>
      <c r="C95">
        <v>1807.8823</v>
      </c>
      <c r="D95">
        <v>92.888451579999995</v>
      </c>
      <c r="E95">
        <v>3.2041493509999999</v>
      </c>
      <c r="F95">
        <v>156.86433220000001</v>
      </c>
      <c r="G95">
        <v>28.81429803</v>
      </c>
      <c r="H95">
        <v>36.156101110000002</v>
      </c>
      <c r="I95">
        <v>40.233740330000003</v>
      </c>
      <c r="J95">
        <v>40.494180559999997</v>
      </c>
      <c r="K95">
        <v>39.810966729999997</v>
      </c>
      <c r="L95">
        <v>244.95137120000001</v>
      </c>
      <c r="M95">
        <v>28.00741923</v>
      </c>
      <c r="N95">
        <v>2.557638764</v>
      </c>
      <c r="O95">
        <v>-9.1033595999999994E-2</v>
      </c>
      <c r="P95">
        <v>0.53432165799999998</v>
      </c>
      <c r="Q95" t="s">
        <v>19</v>
      </c>
      <c r="R95" t="s">
        <v>20</v>
      </c>
      <c r="S95">
        <f>IF(R95="粉砂质泥岩",0,IF(R95="暗色泥岩",1,IF(R95="非均质砂岩",2,IF(R95="均质砂岩",3,IF(R95="黑色页岩",4,IF(R95="凝灰岩",5,""))))))</f>
        <v>1</v>
      </c>
    </row>
    <row r="96" spans="1:19" x14ac:dyDescent="0.2">
      <c r="A96" t="s">
        <v>27</v>
      </c>
      <c r="B96">
        <v>1807.8823</v>
      </c>
      <c r="C96">
        <v>1808.9938999999999</v>
      </c>
      <c r="D96">
        <v>94.715812679999999</v>
      </c>
      <c r="E96">
        <v>2.818599963</v>
      </c>
      <c r="F96">
        <v>108.0654411</v>
      </c>
      <c r="G96">
        <v>48.722373959999999</v>
      </c>
      <c r="H96">
        <v>55.9428196</v>
      </c>
      <c r="I96">
        <v>64.866725160000001</v>
      </c>
      <c r="J96">
        <v>65.858145140000005</v>
      </c>
      <c r="K96">
        <v>66.609595870000007</v>
      </c>
      <c r="L96">
        <v>227.55282750000001</v>
      </c>
      <c r="M96">
        <v>20.436071779999999</v>
      </c>
      <c r="N96">
        <v>2.5483841900000002</v>
      </c>
      <c r="O96">
        <v>2.6799930999999999E-2</v>
      </c>
      <c r="P96">
        <v>0.29032720499999998</v>
      </c>
      <c r="Q96" t="s">
        <v>19</v>
      </c>
      <c r="R96" t="s">
        <v>23</v>
      </c>
      <c r="S96">
        <f>IF(R96="粉砂质泥岩",0,IF(R96="暗色泥岩",1,IF(R96="非均质砂岩",2,IF(R96="均质砂岩",3,IF(R96="黑色页岩",4,IF(R96="凝灰岩",5,""))))))</f>
        <v>3</v>
      </c>
    </row>
    <row r="97" spans="1:19" x14ac:dyDescent="0.2">
      <c r="A97" t="s">
        <v>27</v>
      </c>
      <c r="B97">
        <v>1808.9938999999999</v>
      </c>
      <c r="C97">
        <v>1819.9469999999999</v>
      </c>
      <c r="D97">
        <v>77.473704519999998</v>
      </c>
      <c r="E97">
        <v>3.2234307059999998</v>
      </c>
      <c r="F97">
        <v>316.12751479999997</v>
      </c>
      <c r="G97">
        <v>27.727733860000001</v>
      </c>
      <c r="H97">
        <v>29.749813360000001</v>
      </c>
      <c r="I97">
        <v>31.97136626</v>
      </c>
      <c r="J97">
        <v>32.247799370000003</v>
      </c>
      <c r="K97">
        <v>31.97707424</v>
      </c>
      <c r="L97">
        <v>308.30434100000002</v>
      </c>
      <c r="M97">
        <v>47.222849449999998</v>
      </c>
      <c r="N97">
        <v>2.4032369679999999</v>
      </c>
      <c r="O97">
        <v>-9.5873247999999994E-2</v>
      </c>
      <c r="P97">
        <v>1.330637576</v>
      </c>
      <c r="Q97" t="s">
        <v>19</v>
      </c>
      <c r="R97" t="s">
        <v>25</v>
      </c>
      <c r="S97">
        <f>IF(R97="粉砂质泥岩",0,IF(R97="暗色泥岩",1,IF(R97="非均质砂岩",2,IF(R97="均质砂岩",3,IF(R97="黑色页岩",4,IF(R97="凝灰岩",5,""))))))</f>
        <v>4</v>
      </c>
    </row>
    <row r="98" spans="1:19" x14ac:dyDescent="0.2">
      <c r="A98" t="s">
        <v>27</v>
      </c>
      <c r="B98">
        <v>1819.9469999999999</v>
      </c>
      <c r="C98">
        <v>1820.7408</v>
      </c>
      <c r="D98">
        <v>78.764011929999995</v>
      </c>
      <c r="E98">
        <v>2.8443960800000001</v>
      </c>
      <c r="F98">
        <v>168.74255260000001</v>
      </c>
      <c r="G98">
        <v>44.750031610000001</v>
      </c>
      <c r="H98">
        <v>46.999517169999997</v>
      </c>
      <c r="I98">
        <v>52.450331550000001</v>
      </c>
      <c r="J98">
        <v>53.352789469999998</v>
      </c>
      <c r="K98">
        <v>51.99544144</v>
      </c>
      <c r="L98">
        <v>258.90296059999997</v>
      </c>
      <c r="M98">
        <v>30.723419459999999</v>
      </c>
      <c r="N98">
        <v>2.392285722</v>
      </c>
      <c r="O98">
        <v>-9.4784710000000005E-3</v>
      </c>
      <c r="P98">
        <v>0.59371275999999995</v>
      </c>
      <c r="Q98" t="s">
        <v>19</v>
      </c>
      <c r="R98" t="s">
        <v>21</v>
      </c>
      <c r="S98">
        <f>IF(R98="粉砂质泥岩",0,IF(R98="暗色泥岩",1,IF(R98="非均质砂岩",2,IF(R98="均质砂岩",3,IF(R98="黑色页岩",4,IF(R98="凝灰岩",5,""))))))</f>
        <v>2</v>
      </c>
    </row>
    <row r="99" spans="1:19" x14ac:dyDescent="0.2">
      <c r="A99" t="s">
        <v>27</v>
      </c>
      <c r="B99">
        <v>1820.7408</v>
      </c>
      <c r="C99">
        <v>1821.5881999999999</v>
      </c>
      <c r="D99">
        <v>76.767641069999996</v>
      </c>
      <c r="E99">
        <v>2.7637155349999998</v>
      </c>
      <c r="F99">
        <v>267.2905159</v>
      </c>
      <c r="G99">
        <v>23.907291409999999</v>
      </c>
      <c r="H99">
        <v>25.241891150000001</v>
      </c>
      <c r="I99">
        <v>27.080539940000001</v>
      </c>
      <c r="J99">
        <v>27.472227100000001</v>
      </c>
      <c r="K99">
        <v>26.86309052</v>
      </c>
      <c r="L99">
        <v>274.97206879999999</v>
      </c>
      <c r="M99">
        <v>38.421091320000002</v>
      </c>
      <c r="N99">
        <v>2.455598116</v>
      </c>
      <c r="O99">
        <v>-9.4360891000000002E-2</v>
      </c>
      <c r="P99">
        <v>1.086452559</v>
      </c>
      <c r="Q99" t="s">
        <v>19</v>
      </c>
      <c r="R99" t="s">
        <v>20</v>
      </c>
      <c r="S99">
        <f>IF(R99="粉砂质泥岩",0,IF(R99="暗色泥岩",1,IF(R99="非均质砂岩",2,IF(R99="均质砂岩",3,IF(R99="黑色页岩",4,IF(R99="凝灰岩",5,""))))))</f>
        <v>1</v>
      </c>
    </row>
    <row r="100" spans="1:19" x14ac:dyDescent="0.2">
      <c r="A100" t="s">
        <v>27</v>
      </c>
      <c r="B100">
        <v>1821.5881999999999</v>
      </c>
      <c r="C100">
        <v>1822.7516000000001</v>
      </c>
      <c r="D100">
        <v>77.595650480000003</v>
      </c>
      <c r="E100">
        <v>2.502216148</v>
      </c>
      <c r="F100">
        <v>117.089521</v>
      </c>
      <c r="G100">
        <v>56.441844369999998</v>
      </c>
      <c r="H100">
        <v>53.308501819999996</v>
      </c>
      <c r="I100">
        <v>57.734073070000001</v>
      </c>
      <c r="J100">
        <v>59.086565780000001</v>
      </c>
      <c r="K100">
        <v>58.590391160000003</v>
      </c>
      <c r="L100">
        <v>256.2747162</v>
      </c>
      <c r="M100">
        <v>33.398764040000003</v>
      </c>
      <c r="N100">
        <v>2.4832566979999999</v>
      </c>
      <c r="O100">
        <v>3.3552120999999997E-2</v>
      </c>
      <c r="P100">
        <v>0.33544760299999998</v>
      </c>
      <c r="Q100" t="s">
        <v>19</v>
      </c>
      <c r="R100" t="s">
        <v>23</v>
      </c>
      <c r="S100">
        <f>IF(R100="粉砂质泥岩",0,IF(R100="暗色泥岩",1,IF(R100="非均质砂岩",2,IF(R100="均质砂岩",3,IF(R100="黑色页岩",4,IF(R100="凝灰岩",5,""))))))</f>
        <v>3</v>
      </c>
    </row>
    <row r="101" spans="1:19" x14ac:dyDescent="0.2">
      <c r="A101" t="s">
        <v>27</v>
      </c>
      <c r="B101">
        <v>1822.7516000000001</v>
      </c>
      <c r="C101">
        <v>1826.3498</v>
      </c>
      <c r="D101">
        <v>80.415532429999999</v>
      </c>
      <c r="E101">
        <v>3.323146017</v>
      </c>
      <c r="F101">
        <v>296.07179409999998</v>
      </c>
      <c r="G101">
        <v>28.625885230000002</v>
      </c>
      <c r="H101">
        <v>27.058857029999999</v>
      </c>
      <c r="I101">
        <v>27.94580135</v>
      </c>
      <c r="J101">
        <v>28.235624949999998</v>
      </c>
      <c r="K101">
        <v>27.487516150000001</v>
      </c>
      <c r="L101">
        <v>289.9965062</v>
      </c>
      <c r="M101">
        <v>44.003205620000003</v>
      </c>
      <c r="N101">
        <v>2.433047207</v>
      </c>
      <c r="O101">
        <v>-8.7431321000000006E-2</v>
      </c>
      <c r="P101">
        <v>1.230358968</v>
      </c>
      <c r="Q101" t="s">
        <v>19</v>
      </c>
      <c r="R101" t="s">
        <v>20</v>
      </c>
      <c r="S101">
        <f>IF(R101="粉砂质泥岩",0,IF(R101="暗色泥岩",1,IF(R101="非均质砂岩",2,IF(R101="均质砂岩",3,IF(R101="黑色页岩",4,IF(R101="凝灰岩",5,""))))))</f>
        <v>1</v>
      </c>
    </row>
    <row r="102" spans="1:19" x14ac:dyDescent="0.2">
      <c r="A102" t="s">
        <v>27</v>
      </c>
      <c r="B102">
        <v>1826.3498</v>
      </c>
      <c r="C102">
        <v>1834.3400999999999</v>
      </c>
      <c r="D102">
        <v>89.513725629999996</v>
      </c>
      <c r="E102">
        <v>3.12436018</v>
      </c>
      <c r="F102">
        <v>216.33432379999999</v>
      </c>
      <c r="G102">
        <v>64.921574489999998</v>
      </c>
      <c r="H102">
        <v>60.954767930000003</v>
      </c>
      <c r="I102">
        <v>63.851185460000004</v>
      </c>
      <c r="J102">
        <v>63.530177369999997</v>
      </c>
      <c r="K102">
        <v>60.563990930000003</v>
      </c>
      <c r="L102">
        <v>267.08734249999998</v>
      </c>
      <c r="M102">
        <v>36.046326829999998</v>
      </c>
      <c r="N102">
        <v>2.466925298</v>
      </c>
      <c r="O102">
        <v>-0.102842424</v>
      </c>
      <c r="P102">
        <v>0.83167162100000003</v>
      </c>
      <c r="Q102" t="s">
        <v>19</v>
      </c>
      <c r="R102" t="s">
        <v>25</v>
      </c>
      <c r="S102">
        <f>IF(R102="粉砂质泥岩",0,IF(R102="暗色泥岩",1,IF(R102="非均质砂岩",2,IF(R102="均质砂岩",3,IF(R102="黑色页岩",4,IF(R102="凝灰岩",5,""))))))</f>
        <v>4</v>
      </c>
    </row>
    <row r="103" spans="1:19" x14ac:dyDescent="0.2">
      <c r="A103" t="s">
        <v>27</v>
      </c>
      <c r="B103">
        <v>1834.3918000000001</v>
      </c>
      <c r="C103">
        <v>1836.933</v>
      </c>
      <c r="D103">
        <v>89.846274969999996</v>
      </c>
      <c r="E103">
        <v>2.8858274960000001</v>
      </c>
      <c r="F103">
        <v>187.7230112</v>
      </c>
      <c r="G103">
        <v>74.276351750000003</v>
      </c>
      <c r="H103">
        <v>66.921485360000005</v>
      </c>
      <c r="I103">
        <v>66.394318720000001</v>
      </c>
      <c r="J103">
        <v>64.845612029999998</v>
      </c>
      <c r="K103">
        <v>61.270983649999998</v>
      </c>
      <c r="L103">
        <v>272.43045769999998</v>
      </c>
      <c r="M103">
        <v>35.200471790000002</v>
      </c>
      <c r="N103">
        <v>2.4595247900000001</v>
      </c>
      <c r="O103">
        <v>6.3447451000000002E-2</v>
      </c>
      <c r="P103">
        <v>0.68861505700000003</v>
      </c>
      <c r="Q103" t="s">
        <v>19</v>
      </c>
      <c r="R103" t="s">
        <v>21</v>
      </c>
      <c r="S103">
        <f>IF(R103="粉砂质泥岩",0,IF(R103="暗色泥岩",1,IF(R103="非均质砂岩",2,IF(R103="均质砂岩",3,IF(R103="黑色页岩",4,IF(R103="凝灰岩",5,""))))))</f>
        <v>2</v>
      </c>
    </row>
    <row r="104" spans="1:19" x14ac:dyDescent="0.2">
      <c r="A104" t="s">
        <v>27</v>
      </c>
      <c r="B104">
        <v>1836.933</v>
      </c>
      <c r="C104">
        <v>1838.203</v>
      </c>
      <c r="D104">
        <v>88.892748049999994</v>
      </c>
      <c r="E104">
        <v>3.4501388290000001</v>
      </c>
      <c r="F104">
        <v>286.95106779999998</v>
      </c>
      <c r="G104">
        <v>163.44879460000001</v>
      </c>
      <c r="H104">
        <v>121.44675789999999</v>
      </c>
      <c r="I104">
        <v>119.0858123</v>
      </c>
      <c r="J104">
        <v>119.52164879999999</v>
      </c>
      <c r="K104">
        <v>118.375928</v>
      </c>
      <c r="L104">
        <v>309.53128880000003</v>
      </c>
      <c r="M104">
        <v>51.038624849999998</v>
      </c>
      <c r="N104">
        <v>2.3493649529999998</v>
      </c>
      <c r="O104">
        <v>-5.0661537999999999E-2</v>
      </c>
      <c r="P104">
        <v>1.1847553310000001</v>
      </c>
      <c r="Q104" t="s">
        <v>19</v>
      </c>
      <c r="R104" t="s">
        <v>20</v>
      </c>
      <c r="S104">
        <f>IF(R104="粉砂质泥岩",0,IF(R104="暗色泥岩",1,IF(R104="非均质砂岩",2,IF(R104="均质砂岩",3,IF(R104="黑色页岩",4,IF(R104="凝灰岩",5,""))))))</f>
        <v>1</v>
      </c>
    </row>
    <row r="105" spans="1:19" x14ac:dyDescent="0.2">
      <c r="A105" t="s">
        <v>27</v>
      </c>
      <c r="B105">
        <v>1838.203</v>
      </c>
      <c r="C105">
        <v>1841.1141</v>
      </c>
      <c r="D105">
        <v>81.129523280000001</v>
      </c>
      <c r="E105">
        <v>2.641725938</v>
      </c>
      <c r="F105">
        <v>153.35418670000001</v>
      </c>
      <c r="G105">
        <v>15.29039027</v>
      </c>
      <c r="H105">
        <v>14.17887092</v>
      </c>
      <c r="I105">
        <v>14.197812280000001</v>
      </c>
      <c r="J105">
        <v>14.56467748</v>
      </c>
      <c r="K105">
        <v>14.74896161</v>
      </c>
      <c r="L105">
        <v>290.97917810000001</v>
      </c>
      <c r="M105">
        <v>36.493466220000002</v>
      </c>
      <c r="N105">
        <v>2.463333666</v>
      </c>
      <c r="O105">
        <v>-0.14351572500000001</v>
      </c>
      <c r="P105">
        <v>0.51677093399999996</v>
      </c>
      <c r="Q105" t="s">
        <v>19</v>
      </c>
      <c r="R105" t="s">
        <v>24</v>
      </c>
      <c r="S105">
        <f>IF(R105="粉砂质泥岩",0,IF(R105="暗色泥岩",1,IF(R105="非均质砂岩",2,IF(R105="均质砂岩",3,IF(R105="黑色页岩",4,IF(R105="凝灰岩",5,""))))))</f>
        <v>5</v>
      </c>
    </row>
    <row r="106" spans="1:19" x14ac:dyDescent="0.2">
      <c r="A106" t="s">
        <v>28</v>
      </c>
      <c r="B106">
        <v>1709.7836</v>
      </c>
      <c r="C106">
        <v>1712.366</v>
      </c>
      <c r="D106">
        <v>61.940365880000002</v>
      </c>
      <c r="E106">
        <v>3.2303909819999999</v>
      </c>
      <c r="F106">
        <v>139.4034126</v>
      </c>
      <c r="G106">
        <v>22.180225979999999</v>
      </c>
      <c r="H106">
        <v>25.587028499999999</v>
      </c>
      <c r="I106">
        <v>27.076793410000001</v>
      </c>
      <c r="J106">
        <v>28.521948550000001</v>
      </c>
      <c r="K106">
        <v>28.686650279999999</v>
      </c>
      <c r="L106">
        <v>254.21984169999999</v>
      </c>
      <c r="M106">
        <v>25.728577699999999</v>
      </c>
      <c r="N106">
        <v>2.5954179549999998</v>
      </c>
      <c r="O106">
        <v>-8.2559957000000003E-2</v>
      </c>
      <c r="P106">
        <v>0.44701706400000002</v>
      </c>
      <c r="Q106" t="s">
        <v>19</v>
      </c>
      <c r="R106" t="s">
        <v>22</v>
      </c>
      <c r="S106">
        <f>IF(R106="粉砂质泥岩",0,IF(R106="暗色泥岩",1,IF(R106="非均质砂岩",2,IF(R106="均质砂岩",3,IF(R106="黑色页岩",4,IF(R106="凝灰岩",5,""))))))</f>
        <v>0</v>
      </c>
    </row>
    <row r="107" spans="1:19" x14ac:dyDescent="0.2">
      <c r="A107" t="s">
        <v>28</v>
      </c>
      <c r="B107">
        <v>1712.366</v>
      </c>
      <c r="C107">
        <v>1714.6937</v>
      </c>
      <c r="D107">
        <v>62.64513607</v>
      </c>
      <c r="E107">
        <v>3.235855913</v>
      </c>
      <c r="F107">
        <v>142.4009552</v>
      </c>
      <c r="G107">
        <v>30.36136866</v>
      </c>
      <c r="H107">
        <v>33.273460669999999</v>
      </c>
      <c r="I107">
        <v>35.19336414</v>
      </c>
      <c r="J107">
        <v>37.318265719999999</v>
      </c>
      <c r="K107">
        <v>37.714773649999998</v>
      </c>
      <c r="L107">
        <v>244.58644409999999</v>
      </c>
      <c r="M107">
        <v>25.18014221</v>
      </c>
      <c r="N107">
        <v>2.6077746030000002</v>
      </c>
      <c r="O107">
        <v>-7.0146843E-2</v>
      </c>
      <c r="P107">
        <v>0.46200477600000001</v>
      </c>
      <c r="Q107" t="s">
        <v>19</v>
      </c>
      <c r="R107" t="s">
        <v>22</v>
      </c>
      <c r="S107">
        <f>IF(R107="粉砂质泥岩",0,IF(R107="暗色泥岩",1,IF(R107="非均质砂岩",2,IF(R107="均质砂岩",3,IF(R107="黑色页岩",4,IF(R107="凝灰岩",5,""))))))</f>
        <v>0</v>
      </c>
    </row>
    <row r="108" spans="1:19" x14ac:dyDescent="0.2">
      <c r="A108" t="s">
        <v>28</v>
      </c>
      <c r="B108">
        <v>1714.6937</v>
      </c>
      <c r="C108">
        <v>1715.8786</v>
      </c>
      <c r="D108">
        <v>64.492181779999996</v>
      </c>
      <c r="E108">
        <v>3.3905591249999998</v>
      </c>
      <c r="F108">
        <v>167.1855698</v>
      </c>
      <c r="G108">
        <v>19.506412319999999</v>
      </c>
      <c r="H108">
        <v>20.817374229999999</v>
      </c>
      <c r="I108">
        <v>21.495226290000002</v>
      </c>
      <c r="J108">
        <v>22.356792639999998</v>
      </c>
      <c r="K108">
        <v>22.47776489</v>
      </c>
      <c r="L108">
        <v>268.77408750000001</v>
      </c>
      <c r="M108">
        <v>30.39191074</v>
      </c>
      <c r="N108">
        <v>2.5498445030000001</v>
      </c>
      <c r="O108">
        <v>-0.134684251</v>
      </c>
      <c r="P108">
        <v>0.585927847</v>
      </c>
      <c r="Q108" t="s">
        <v>19</v>
      </c>
      <c r="R108" t="s">
        <v>20</v>
      </c>
      <c r="S108">
        <f>IF(R108="粉砂质泥岩",0,IF(R108="暗色泥岩",1,IF(R108="非均质砂岩",2,IF(R108="均质砂岩",3,IF(R108="黑色页岩",4,IF(R108="凝灰岩",5,""))))))</f>
        <v>1</v>
      </c>
    </row>
    <row r="109" spans="1:19" x14ac:dyDescent="0.2">
      <c r="A109" t="s">
        <v>28</v>
      </c>
      <c r="B109">
        <v>1715.8786</v>
      </c>
      <c r="C109">
        <v>1722.9476999999999</v>
      </c>
      <c r="D109">
        <v>58.820254949999999</v>
      </c>
      <c r="E109">
        <v>2.808378491</v>
      </c>
      <c r="F109">
        <v>97.884151979999999</v>
      </c>
      <c r="G109">
        <v>39.868519620000001</v>
      </c>
      <c r="H109">
        <v>39.503276919999998</v>
      </c>
      <c r="I109">
        <v>40.968908839999997</v>
      </c>
      <c r="J109">
        <v>44.245850830000002</v>
      </c>
      <c r="K109">
        <v>44.97015493</v>
      </c>
      <c r="L109">
        <v>228.1454205</v>
      </c>
      <c r="M109">
        <v>16.695764669999999</v>
      </c>
      <c r="N109">
        <v>2.5590899280000001</v>
      </c>
      <c r="O109">
        <v>-2.0794218E-2</v>
      </c>
      <c r="P109">
        <v>0.23942076000000001</v>
      </c>
      <c r="Q109" t="s">
        <v>19</v>
      </c>
      <c r="R109" t="s">
        <v>21</v>
      </c>
      <c r="S109">
        <f>IF(R109="粉砂质泥岩",0,IF(R109="暗色泥岩",1,IF(R109="非均质砂岩",2,IF(R109="均质砂岩",3,IF(R109="黑色页岩",4,IF(R109="凝灰岩",5,""))))))</f>
        <v>2</v>
      </c>
    </row>
    <row r="110" spans="1:19" x14ac:dyDescent="0.2">
      <c r="A110" t="s">
        <v>28</v>
      </c>
      <c r="B110">
        <v>1722.9476999999999</v>
      </c>
      <c r="C110">
        <v>1724.3448000000001</v>
      </c>
      <c r="D110">
        <v>60.095121069999998</v>
      </c>
      <c r="E110">
        <v>2.8235649270000001</v>
      </c>
      <c r="F110">
        <v>108.61823529999999</v>
      </c>
      <c r="G110">
        <v>34.420771279999997</v>
      </c>
      <c r="H110">
        <v>34.045596920000001</v>
      </c>
      <c r="I110">
        <v>35.030335110000003</v>
      </c>
      <c r="J110">
        <v>36.968763670000001</v>
      </c>
      <c r="K110">
        <v>37.991018609999998</v>
      </c>
      <c r="L110">
        <v>228.17524460000001</v>
      </c>
      <c r="M110">
        <v>17.58558575</v>
      </c>
      <c r="N110">
        <v>2.592781623</v>
      </c>
      <c r="O110">
        <v>-3.0339976000000001E-2</v>
      </c>
      <c r="P110">
        <v>0.29309117400000001</v>
      </c>
      <c r="Q110" t="s">
        <v>19</v>
      </c>
      <c r="R110" t="s">
        <v>22</v>
      </c>
      <c r="S110">
        <f>IF(R110="粉砂质泥岩",0,IF(R110="暗色泥岩",1,IF(R110="非均质砂岩",2,IF(R110="均质砂岩",3,IF(R110="黑色页岩",4,IF(R110="凝灰岩",5,""))))))</f>
        <v>0</v>
      </c>
    </row>
    <row r="111" spans="1:19" x14ac:dyDescent="0.2">
      <c r="A111" t="s">
        <v>28</v>
      </c>
      <c r="B111">
        <v>1724.3448000000001</v>
      </c>
      <c r="C111">
        <v>1734.6319000000001</v>
      </c>
      <c r="D111">
        <v>57.506411630000002</v>
      </c>
      <c r="E111">
        <v>2.695629872</v>
      </c>
      <c r="F111">
        <v>91.397128550000005</v>
      </c>
      <c r="G111">
        <v>41.721516899999997</v>
      </c>
      <c r="H111">
        <v>40.381583020000001</v>
      </c>
      <c r="I111">
        <v>41.755289099999999</v>
      </c>
      <c r="J111">
        <v>44.849205480000002</v>
      </c>
      <c r="K111">
        <v>45.889450580000002</v>
      </c>
      <c r="L111">
        <v>227.3325111</v>
      </c>
      <c r="M111">
        <v>15.66541483</v>
      </c>
      <c r="N111">
        <v>2.5391929809999998</v>
      </c>
      <c r="O111">
        <v>-1.8265262000000001E-2</v>
      </c>
      <c r="P111">
        <v>0.206985643</v>
      </c>
      <c r="Q111" t="s">
        <v>19</v>
      </c>
      <c r="R111" t="s">
        <v>21</v>
      </c>
      <c r="S111">
        <f>IF(R111="粉砂质泥岩",0,IF(R111="暗色泥岩",1,IF(R111="非均质砂岩",2,IF(R111="均质砂岩",3,IF(R111="黑色页岩",4,IF(R111="凝灰岩",5,""))))))</f>
        <v>2</v>
      </c>
    </row>
    <row r="112" spans="1:19" x14ac:dyDescent="0.2">
      <c r="A112" t="s">
        <v>28</v>
      </c>
      <c r="B112">
        <v>1734.6319000000001</v>
      </c>
      <c r="C112">
        <v>1736.9599000000001</v>
      </c>
      <c r="D112">
        <v>56.335989949999998</v>
      </c>
      <c r="E112">
        <v>3.1980101589999999</v>
      </c>
      <c r="F112">
        <v>147.1336651</v>
      </c>
      <c r="G112">
        <v>24.9215661</v>
      </c>
      <c r="H112">
        <v>25.595396659999999</v>
      </c>
      <c r="I112">
        <v>26.250799610000001</v>
      </c>
      <c r="J112">
        <v>26.938313059999999</v>
      </c>
      <c r="K112">
        <v>27.256005529999999</v>
      </c>
      <c r="L112">
        <v>247.1948471</v>
      </c>
      <c r="M112">
        <v>25.71042242</v>
      </c>
      <c r="N112">
        <v>2.629560471</v>
      </c>
      <c r="O112">
        <v>-8.6095222999999999E-2</v>
      </c>
      <c r="P112">
        <v>0.48566832199999999</v>
      </c>
      <c r="Q112" t="s">
        <v>19</v>
      </c>
      <c r="R112" t="s">
        <v>22</v>
      </c>
      <c r="S112">
        <f>IF(R112="粉砂质泥岩",0,IF(R112="暗色泥岩",1,IF(R112="非均质砂岩",2,IF(R112="均质砂岩",3,IF(R112="黑色页岩",4,IF(R112="凝灰岩",5,""))))))</f>
        <v>0</v>
      </c>
    </row>
    <row r="113" spans="1:19" x14ac:dyDescent="0.2">
      <c r="A113" t="s">
        <v>28</v>
      </c>
      <c r="B113">
        <v>1736.9599000000001</v>
      </c>
      <c r="C113">
        <v>1740.8968</v>
      </c>
      <c r="D113">
        <v>51.973662609999998</v>
      </c>
      <c r="E113">
        <v>2.8591066079999998</v>
      </c>
      <c r="F113">
        <v>195.22948360000001</v>
      </c>
      <c r="G113">
        <v>13.44997755</v>
      </c>
      <c r="H113">
        <v>14.927615490000001</v>
      </c>
      <c r="I113">
        <v>15.385330140000001</v>
      </c>
      <c r="J113">
        <v>15.255693020000001</v>
      </c>
      <c r="K113">
        <v>15.14129528</v>
      </c>
      <c r="L113">
        <v>273.15070530000003</v>
      </c>
      <c r="M113">
        <v>29.01728374</v>
      </c>
      <c r="N113">
        <v>2.5461244139999999</v>
      </c>
      <c r="O113">
        <v>-0.19753211500000001</v>
      </c>
      <c r="P113">
        <v>0.72614742099999996</v>
      </c>
      <c r="Q113" t="s">
        <v>19</v>
      </c>
      <c r="R113" t="s">
        <v>20</v>
      </c>
      <c r="S113">
        <f>IF(R113="粉砂质泥岩",0,IF(R113="暗色泥岩",1,IF(R113="非均质砂岩",2,IF(R113="均质砂岩",3,IF(R113="黑色页岩",4,IF(R113="凝灰岩",5,""))))))</f>
        <v>1</v>
      </c>
    </row>
    <row r="114" spans="1:19" x14ac:dyDescent="0.2">
      <c r="A114" t="s">
        <v>28</v>
      </c>
      <c r="B114">
        <v>1740.8968</v>
      </c>
      <c r="C114">
        <v>1744.7909999999999</v>
      </c>
      <c r="D114">
        <v>47.677478430000001</v>
      </c>
      <c r="E114">
        <v>2.8616747930000002</v>
      </c>
      <c r="F114">
        <v>100.03019260000001</v>
      </c>
      <c r="G114">
        <v>33.873365190000001</v>
      </c>
      <c r="H114">
        <v>35.35853857</v>
      </c>
      <c r="I114">
        <v>36.707363899999997</v>
      </c>
      <c r="J114">
        <v>38.247761850000003</v>
      </c>
      <c r="K114">
        <v>38.998553659999999</v>
      </c>
      <c r="L114">
        <v>229.4292197</v>
      </c>
      <c r="M114">
        <v>17.463155329999999</v>
      </c>
      <c r="N114">
        <v>2.5668982709999999</v>
      </c>
      <c r="O114">
        <v>-2.1224779999999999E-2</v>
      </c>
      <c r="P114">
        <v>0.250150965</v>
      </c>
      <c r="Q114" t="s">
        <v>19</v>
      </c>
      <c r="R114" t="s">
        <v>21</v>
      </c>
      <c r="S114">
        <f>IF(R114="粉砂质泥岩",0,IF(R114="暗色泥岩",1,IF(R114="非均质砂岩",2,IF(R114="均质砂岩",3,IF(R114="黑色页岩",4,IF(R114="凝灰岩",5,""))))))</f>
        <v>2</v>
      </c>
    </row>
    <row r="115" spans="1:19" x14ac:dyDescent="0.2">
      <c r="A115" t="s">
        <v>28</v>
      </c>
      <c r="B115">
        <v>1744.7909999999999</v>
      </c>
      <c r="C115">
        <v>1746.8242</v>
      </c>
      <c r="D115">
        <v>52.92684577</v>
      </c>
      <c r="E115">
        <v>2.9925549170000001</v>
      </c>
      <c r="F115">
        <v>119.4480918</v>
      </c>
      <c r="G115">
        <v>28.072298270000001</v>
      </c>
      <c r="H115">
        <v>28.551334610000001</v>
      </c>
      <c r="I115">
        <v>29.19021068</v>
      </c>
      <c r="J115">
        <v>30.010299790000001</v>
      </c>
      <c r="K115">
        <v>30.507018259999999</v>
      </c>
      <c r="L115">
        <v>235.05943930000001</v>
      </c>
      <c r="M115">
        <v>20.830744459999998</v>
      </c>
      <c r="N115">
        <v>2.6064960259999999</v>
      </c>
      <c r="O115">
        <v>-3.9256934E-2</v>
      </c>
      <c r="P115">
        <v>0.34724046200000003</v>
      </c>
      <c r="Q115" t="s">
        <v>19</v>
      </c>
      <c r="R115" t="s">
        <v>22</v>
      </c>
      <c r="S115">
        <f>IF(R115="粉砂质泥岩",0,IF(R115="暗色泥岩",1,IF(R115="非均质砂岩",2,IF(R115="均质砂岩",3,IF(R115="黑色页岩",4,IF(R115="凝灰岩",5,""))))))</f>
        <v>0</v>
      </c>
    </row>
    <row r="116" spans="1:19" x14ac:dyDescent="0.2">
      <c r="A116" t="s">
        <v>28</v>
      </c>
      <c r="B116">
        <v>1746.8242</v>
      </c>
      <c r="C116">
        <v>1763.7140999999999</v>
      </c>
      <c r="D116">
        <v>54.589913959999997</v>
      </c>
      <c r="E116">
        <v>2.7547374169999999</v>
      </c>
      <c r="F116">
        <v>96.329425310000005</v>
      </c>
      <c r="G116">
        <v>45.249123570000002</v>
      </c>
      <c r="H116">
        <v>44.575042189999998</v>
      </c>
      <c r="I116">
        <v>46.040012609999998</v>
      </c>
      <c r="J116">
        <v>50.568442820000001</v>
      </c>
      <c r="K116">
        <v>51.765312600000001</v>
      </c>
      <c r="L116">
        <v>229.38565059999999</v>
      </c>
      <c r="M116">
        <v>17.501299499999998</v>
      </c>
      <c r="N116">
        <v>2.5456729249999999</v>
      </c>
      <c r="O116">
        <v>-1.1256031999999999E-2</v>
      </c>
      <c r="P116">
        <v>0.23164712700000001</v>
      </c>
      <c r="Q116" t="s">
        <v>19</v>
      </c>
      <c r="R116" t="s">
        <v>21</v>
      </c>
      <c r="S116">
        <f>IF(R116="粉砂质泥岩",0,IF(R116="暗色泥岩",1,IF(R116="非均质砂岩",2,IF(R116="均质砂岩",3,IF(R116="黑色页岩",4,IF(R116="凝灰岩",5,""))))))</f>
        <v>2</v>
      </c>
    </row>
    <row r="117" spans="1:19" x14ac:dyDescent="0.2">
      <c r="A117" t="s">
        <v>28</v>
      </c>
      <c r="B117">
        <v>1763.7140999999999</v>
      </c>
      <c r="C117">
        <v>1765.4509</v>
      </c>
      <c r="D117">
        <v>60.455966949999997</v>
      </c>
      <c r="E117">
        <v>3.0064886729999998</v>
      </c>
      <c r="F117">
        <v>120.7692586</v>
      </c>
      <c r="G117">
        <v>32.271821850000002</v>
      </c>
      <c r="H117">
        <v>30.916656369999998</v>
      </c>
      <c r="I117">
        <v>30.62377536</v>
      </c>
      <c r="J117">
        <v>31.516041820000002</v>
      </c>
      <c r="K117">
        <v>31.925681180000002</v>
      </c>
      <c r="L117">
        <v>231.19874060000001</v>
      </c>
      <c r="M117">
        <v>21.48225085</v>
      </c>
      <c r="N117">
        <v>2.6279205160000001</v>
      </c>
      <c r="O117">
        <v>-2.8152916E-2</v>
      </c>
      <c r="P117">
        <v>0.35384629000000001</v>
      </c>
      <c r="Q117" t="s">
        <v>19</v>
      </c>
      <c r="R117" t="s">
        <v>22</v>
      </c>
      <c r="S117">
        <f>IF(R117="粉砂质泥岩",0,IF(R117="暗色泥岩",1,IF(R117="非均质砂岩",2,IF(R117="均质砂岩",3,IF(R117="黑色页岩",4,IF(R117="凝灰岩",5,""))))))</f>
        <v>0</v>
      </c>
    </row>
    <row r="118" spans="1:19" x14ac:dyDescent="0.2">
      <c r="A118" t="s">
        <v>28</v>
      </c>
      <c r="B118">
        <v>1765.4509</v>
      </c>
      <c r="C118">
        <v>1767.2709</v>
      </c>
      <c r="D118">
        <v>58.98817348</v>
      </c>
      <c r="E118">
        <v>2.7658489639999999</v>
      </c>
      <c r="F118">
        <v>91.644591809999994</v>
      </c>
      <c r="G118">
        <v>50.835053209999998</v>
      </c>
      <c r="H118">
        <v>48.446950909999998</v>
      </c>
      <c r="I118">
        <v>48.569663290000001</v>
      </c>
      <c r="J118">
        <v>49.989278079999998</v>
      </c>
      <c r="K118">
        <v>50.792557479999999</v>
      </c>
      <c r="L118">
        <v>226.45423600000001</v>
      </c>
      <c r="M118">
        <v>17.539610029999999</v>
      </c>
      <c r="N118">
        <v>2.54402858</v>
      </c>
      <c r="O118">
        <v>1.1417498999999999E-2</v>
      </c>
      <c r="P118">
        <v>0.20822295900000001</v>
      </c>
      <c r="Q118" t="s">
        <v>19</v>
      </c>
      <c r="R118" t="s">
        <v>23</v>
      </c>
      <c r="S118">
        <f>IF(R118="粉砂质泥岩",0,IF(R118="暗色泥岩",1,IF(R118="非均质砂岩",2,IF(R118="均质砂岩",3,IF(R118="黑色页岩",4,IF(R118="凝灰岩",5,""))))))</f>
        <v>3</v>
      </c>
    </row>
    <row r="119" spans="1:19" x14ac:dyDescent="0.2">
      <c r="A119" t="s">
        <v>28</v>
      </c>
      <c r="B119">
        <v>1767.2709</v>
      </c>
      <c r="C119">
        <v>1768.8371</v>
      </c>
      <c r="D119">
        <v>59.891572949999997</v>
      </c>
      <c r="E119">
        <v>3.123462081</v>
      </c>
      <c r="F119">
        <v>121.8943318</v>
      </c>
      <c r="G119">
        <v>32.769952089999997</v>
      </c>
      <c r="H119">
        <v>31.690225869999999</v>
      </c>
      <c r="I119">
        <v>31.953962730000001</v>
      </c>
      <c r="J119">
        <v>32.771837640000001</v>
      </c>
      <c r="K119">
        <v>33.45741408</v>
      </c>
      <c r="L119">
        <v>231.16561239999999</v>
      </c>
      <c r="M119">
        <v>22.145303179999999</v>
      </c>
      <c r="N119">
        <v>2.6212393220000001</v>
      </c>
      <c r="O119">
        <v>-2.3277883999999999E-2</v>
      </c>
      <c r="P119">
        <v>0.359471655</v>
      </c>
      <c r="Q119" t="s">
        <v>19</v>
      </c>
      <c r="R119" t="s">
        <v>22</v>
      </c>
      <c r="S119">
        <f>IF(R119="粉砂质泥岩",0,IF(R119="暗色泥岩",1,IF(R119="非均质砂岩",2,IF(R119="均质砂岩",3,IF(R119="黑色页岩",4,IF(R119="凝灰岩",5,""))))))</f>
        <v>0</v>
      </c>
    </row>
    <row r="120" spans="1:19" x14ac:dyDescent="0.2">
      <c r="A120" t="s">
        <v>28</v>
      </c>
      <c r="B120">
        <v>1768.8371</v>
      </c>
      <c r="C120">
        <v>1772.2238</v>
      </c>
      <c r="D120">
        <v>59.11245401</v>
      </c>
      <c r="E120">
        <v>2.7050696099999998</v>
      </c>
      <c r="F120">
        <v>93.841448650000004</v>
      </c>
      <c r="G120">
        <v>46.023031920000001</v>
      </c>
      <c r="H120">
        <v>43.711224960000003</v>
      </c>
      <c r="I120">
        <v>45.165512079999999</v>
      </c>
      <c r="J120">
        <v>48.241897039999998</v>
      </c>
      <c r="K120">
        <v>49.697624480000002</v>
      </c>
      <c r="L120">
        <v>227.96644370000001</v>
      </c>
      <c r="M120">
        <v>18.001969129999999</v>
      </c>
      <c r="N120">
        <v>2.5623025209999999</v>
      </c>
      <c r="O120">
        <v>-1.086112E-3</v>
      </c>
      <c r="P120">
        <v>0.219207244</v>
      </c>
      <c r="Q120" t="s">
        <v>19</v>
      </c>
      <c r="R120" t="s">
        <v>21</v>
      </c>
      <c r="S120">
        <f>IF(R120="粉砂质泥岩",0,IF(R120="暗色泥岩",1,IF(R120="非均质砂岩",2,IF(R120="均质砂岩",3,IF(R120="黑色页岩",4,IF(R120="凝灰岩",5,""))))))</f>
        <v>2</v>
      </c>
    </row>
    <row r="121" spans="1:19" x14ac:dyDescent="0.2">
      <c r="A121" t="s">
        <v>28</v>
      </c>
      <c r="B121">
        <v>1772.3083999999999</v>
      </c>
      <c r="C121">
        <v>1772.7318</v>
      </c>
      <c r="D121">
        <v>61.123806000000002</v>
      </c>
      <c r="E121">
        <v>2.804583311</v>
      </c>
      <c r="F121">
        <v>113.80683329999999</v>
      </c>
      <c r="G121">
        <v>34.100138659999999</v>
      </c>
      <c r="H121">
        <v>32.574489589999999</v>
      </c>
      <c r="I121">
        <v>33.085948469999998</v>
      </c>
      <c r="J121">
        <v>35.193225859999998</v>
      </c>
      <c r="K121">
        <v>36.17332554</v>
      </c>
      <c r="L121">
        <v>235.32939150000001</v>
      </c>
      <c r="M121">
        <v>22.286577220000002</v>
      </c>
      <c r="N121">
        <v>2.5982648730000002</v>
      </c>
      <c r="O121">
        <v>-1.4397273E-2</v>
      </c>
      <c r="P121">
        <v>0.31903416699999998</v>
      </c>
      <c r="Q121" t="s">
        <v>19</v>
      </c>
      <c r="R121" t="s">
        <v>22</v>
      </c>
      <c r="S121">
        <f>IF(R121="粉砂质泥岩",0,IF(R121="暗色泥岩",1,IF(R121="非均质砂岩",2,IF(R121="均质砂岩",3,IF(R121="黑色页岩",4,IF(R121="凝灰岩",5,""))))))</f>
        <v>0</v>
      </c>
    </row>
    <row r="122" spans="1:19" x14ac:dyDescent="0.2">
      <c r="A122" t="s">
        <v>28</v>
      </c>
      <c r="B122">
        <v>1772.7318</v>
      </c>
      <c r="C122">
        <v>1774.1711</v>
      </c>
      <c r="D122">
        <v>61.27964137</v>
      </c>
      <c r="E122">
        <v>3.0620781830000001</v>
      </c>
      <c r="F122">
        <v>87.957281850000001</v>
      </c>
      <c r="G122">
        <v>67.411201480000003</v>
      </c>
      <c r="H122">
        <v>61.559685780000002</v>
      </c>
      <c r="I122">
        <v>64.477584550000003</v>
      </c>
      <c r="J122">
        <v>72.79001676</v>
      </c>
      <c r="K122">
        <v>73.569336230000005</v>
      </c>
      <c r="L122">
        <v>217.8442512</v>
      </c>
      <c r="M122">
        <v>16.635306509999999</v>
      </c>
      <c r="N122">
        <v>2.5979804629999999</v>
      </c>
      <c r="O122">
        <v>1.3311929E-2</v>
      </c>
      <c r="P122">
        <v>0.18978640899999999</v>
      </c>
      <c r="Q122" t="s">
        <v>19</v>
      </c>
      <c r="R122" t="s">
        <v>21</v>
      </c>
      <c r="S122">
        <f>IF(R122="粉砂质泥岩",0,IF(R122="暗色泥岩",1,IF(R122="非均质砂岩",2,IF(R122="均质砂岩",3,IF(R122="黑色页岩",4,IF(R122="凝灰岩",5,""))))))</f>
        <v>2</v>
      </c>
    </row>
    <row r="123" spans="1:19" x14ac:dyDescent="0.2">
      <c r="A123" t="s">
        <v>28</v>
      </c>
      <c r="B123">
        <v>1774.1711</v>
      </c>
      <c r="C123">
        <v>1776.33</v>
      </c>
      <c r="D123">
        <v>62.10151312</v>
      </c>
      <c r="E123">
        <v>2.9569213790000002</v>
      </c>
      <c r="F123">
        <v>120.9667579</v>
      </c>
      <c r="G123">
        <v>34.193089639999997</v>
      </c>
      <c r="H123">
        <v>34.567129029999997</v>
      </c>
      <c r="I123">
        <v>37.742777769999996</v>
      </c>
      <c r="J123">
        <v>42.906231560000002</v>
      </c>
      <c r="K123">
        <v>42.962192850000001</v>
      </c>
      <c r="L123">
        <v>234.72934720000001</v>
      </c>
      <c r="M123">
        <v>22.334328970000001</v>
      </c>
      <c r="N123">
        <v>2.5906010070000001</v>
      </c>
      <c r="O123">
        <v>-2.7579962E-2</v>
      </c>
      <c r="P123">
        <v>0.35483379199999998</v>
      </c>
      <c r="Q123" t="s">
        <v>19</v>
      </c>
      <c r="R123" t="s">
        <v>22</v>
      </c>
      <c r="S123">
        <f>IF(R123="粉砂质泥岩",0,IF(R123="暗色泥岩",1,IF(R123="非均质砂岩",2,IF(R123="均质砂岩",3,IF(R123="黑色页岩",4,IF(R123="凝灰岩",5,""))))))</f>
        <v>0</v>
      </c>
    </row>
    <row r="124" spans="1:19" x14ac:dyDescent="0.2">
      <c r="A124" t="s">
        <v>28</v>
      </c>
      <c r="B124">
        <v>1776.33</v>
      </c>
      <c r="C124">
        <v>1779.6322</v>
      </c>
      <c r="D124">
        <v>59.401747389999997</v>
      </c>
      <c r="E124">
        <v>2.7704170100000001</v>
      </c>
      <c r="F124">
        <v>98.379122980000005</v>
      </c>
      <c r="G124">
        <v>39.764307870000003</v>
      </c>
      <c r="H124">
        <v>38.049286739999999</v>
      </c>
      <c r="I124">
        <v>39.280225049999999</v>
      </c>
      <c r="J124">
        <v>42.614644370000001</v>
      </c>
      <c r="K124">
        <v>43.147306649999997</v>
      </c>
      <c r="L124">
        <v>229.69614039999999</v>
      </c>
      <c r="M124">
        <v>18.931549279999999</v>
      </c>
      <c r="N124">
        <v>2.5655307239999998</v>
      </c>
      <c r="O124">
        <v>-2.8106699999999999E-3</v>
      </c>
      <c r="P124">
        <v>0.24189561600000001</v>
      </c>
      <c r="Q124" t="s">
        <v>19</v>
      </c>
      <c r="R124" t="s">
        <v>21</v>
      </c>
      <c r="S124">
        <f>IF(R124="粉砂质泥岩",0,IF(R124="暗色泥岩",1,IF(R124="非均质砂岩",2,IF(R124="均质砂岩",3,IF(R124="黑色页岩",4,IF(R124="凝灰岩",5,""))))))</f>
        <v>2</v>
      </c>
    </row>
    <row r="125" spans="1:19" x14ac:dyDescent="0.2">
      <c r="A125" t="s">
        <v>28</v>
      </c>
      <c r="B125">
        <v>1779.6322</v>
      </c>
      <c r="C125">
        <v>1783.9921999999999</v>
      </c>
      <c r="D125">
        <v>62.875574219999997</v>
      </c>
      <c r="E125">
        <v>3.0933377540000002</v>
      </c>
      <c r="F125">
        <v>123.2470593</v>
      </c>
      <c r="G125">
        <v>32.981954680000001</v>
      </c>
      <c r="H125">
        <v>32.184508430000001</v>
      </c>
      <c r="I125">
        <v>32.695816780000001</v>
      </c>
      <c r="J125">
        <v>34.050626970000003</v>
      </c>
      <c r="K125">
        <v>34.831009229999999</v>
      </c>
      <c r="L125">
        <v>235.48648030000001</v>
      </c>
      <c r="M125">
        <v>23.08530352</v>
      </c>
      <c r="N125">
        <v>2.6085164609999998</v>
      </c>
      <c r="O125">
        <v>-2.6692121999999999E-2</v>
      </c>
      <c r="P125">
        <v>0.36623529799999999</v>
      </c>
      <c r="Q125" t="s">
        <v>19</v>
      </c>
      <c r="R125" t="s">
        <v>22</v>
      </c>
      <c r="S125">
        <f>IF(R125="粉砂质泥岩",0,IF(R125="暗色泥岩",1,IF(R125="非均质砂岩",2,IF(R125="均质砂岩",3,IF(R125="黑色页岩",4,IF(R125="凝灰岩",5,""))))))</f>
        <v>0</v>
      </c>
    </row>
    <row r="126" spans="1:19" x14ac:dyDescent="0.2">
      <c r="A126" t="s">
        <v>28</v>
      </c>
      <c r="B126">
        <v>1783.9921999999999</v>
      </c>
      <c r="C126">
        <v>1785.008</v>
      </c>
      <c r="D126">
        <v>62.052962409999999</v>
      </c>
      <c r="E126">
        <v>3.0266301900000001</v>
      </c>
      <c r="F126">
        <v>98.178343029999994</v>
      </c>
      <c r="G126">
        <v>38.581545509999998</v>
      </c>
      <c r="H126">
        <v>38.66240226</v>
      </c>
      <c r="I126">
        <v>40.218789839999999</v>
      </c>
      <c r="J126">
        <v>43.274581060000003</v>
      </c>
      <c r="K126">
        <v>43.804590439999998</v>
      </c>
      <c r="L126">
        <v>225.28175010000001</v>
      </c>
      <c r="M126">
        <v>17.939803650000002</v>
      </c>
      <c r="N126">
        <v>2.6121837559999999</v>
      </c>
      <c r="O126">
        <v>-1.2329240999999999E-2</v>
      </c>
      <c r="P126">
        <v>0.24089171500000001</v>
      </c>
      <c r="Q126" t="s">
        <v>19</v>
      </c>
      <c r="R126" t="s">
        <v>21</v>
      </c>
      <c r="S126">
        <f>IF(R126="粉砂质泥岩",0,IF(R126="暗色泥岩",1,IF(R126="非均质砂岩",2,IF(R126="均质砂岩",3,IF(R126="黑色页岩",4,IF(R126="凝灰岩",5,""))))))</f>
        <v>2</v>
      </c>
    </row>
    <row r="127" spans="1:19" x14ac:dyDescent="0.2">
      <c r="A127" t="s">
        <v>28</v>
      </c>
      <c r="B127">
        <v>1785.008</v>
      </c>
      <c r="C127">
        <v>1790.9770000000001</v>
      </c>
      <c r="D127">
        <v>62.46518785</v>
      </c>
      <c r="E127">
        <v>3.1962389920000001</v>
      </c>
      <c r="F127">
        <v>136.32494629999999</v>
      </c>
      <c r="G127">
        <v>26.44627419</v>
      </c>
      <c r="H127">
        <v>26.86463621</v>
      </c>
      <c r="I127">
        <v>27.20034673</v>
      </c>
      <c r="J127">
        <v>27.709680049999999</v>
      </c>
      <c r="K127">
        <v>28.03873132</v>
      </c>
      <c r="L127">
        <v>243.06956700000001</v>
      </c>
      <c r="M127">
        <v>26.811947369999999</v>
      </c>
      <c r="N127">
        <v>2.6523636509999999</v>
      </c>
      <c r="O127">
        <v>-3.8218200000000001E-2</v>
      </c>
      <c r="P127">
        <v>0.43162473099999998</v>
      </c>
      <c r="Q127" t="s">
        <v>19</v>
      </c>
      <c r="R127" t="s">
        <v>22</v>
      </c>
      <c r="S127">
        <f>IF(R127="粉砂质泥岩",0,IF(R127="暗色泥岩",1,IF(R127="非均质砂岩",2,IF(R127="均质砂岩",3,IF(R127="黑色页岩",4,IF(R127="凝灰岩",5,""))))))</f>
        <v>0</v>
      </c>
    </row>
    <row r="128" spans="1:19" x14ac:dyDescent="0.2">
      <c r="A128" t="s">
        <v>28</v>
      </c>
      <c r="B128">
        <v>1790.9770000000001</v>
      </c>
      <c r="C128">
        <v>1791.9937</v>
      </c>
      <c r="D128">
        <v>62.499326490000001</v>
      </c>
      <c r="E128">
        <v>2.926379667</v>
      </c>
      <c r="F128">
        <v>239.97072180000001</v>
      </c>
      <c r="G128">
        <v>28.110825219999999</v>
      </c>
      <c r="H128">
        <v>30.509790209999998</v>
      </c>
      <c r="I128">
        <v>31.476584119999998</v>
      </c>
      <c r="J128">
        <v>31.69503572</v>
      </c>
      <c r="K128">
        <v>31.91315333</v>
      </c>
      <c r="L128">
        <v>291.17538789999998</v>
      </c>
      <c r="M128">
        <v>39.160434299999999</v>
      </c>
      <c r="N128">
        <v>2.4813507129999999</v>
      </c>
      <c r="O128">
        <v>-0.13187873999999999</v>
      </c>
      <c r="P128">
        <v>0.94985361899999998</v>
      </c>
      <c r="Q128" t="s">
        <v>19</v>
      </c>
      <c r="R128" t="s">
        <v>20</v>
      </c>
      <c r="S128">
        <f>IF(R128="粉砂质泥岩",0,IF(R128="暗色泥岩",1,IF(R128="非均质砂岩",2,IF(R128="均质砂岩",3,IF(R128="黑色页岩",4,IF(R128="凝灰岩",5,""))))))</f>
        <v>1</v>
      </c>
    </row>
    <row r="129" spans="1:19" x14ac:dyDescent="0.2">
      <c r="A129" t="s">
        <v>28</v>
      </c>
      <c r="B129">
        <v>1791.9937</v>
      </c>
      <c r="C129">
        <v>1793.0509</v>
      </c>
      <c r="D129">
        <v>62.65609826</v>
      </c>
      <c r="E129">
        <v>3.0458931919999999</v>
      </c>
      <c r="F129">
        <v>134.87023249999999</v>
      </c>
      <c r="G129">
        <v>46.62351142</v>
      </c>
      <c r="H129">
        <v>46.726431529999999</v>
      </c>
      <c r="I129">
        <v>47.606224060000002</v>
      </c>
      <c r="J129">
        <v>48.522867840000004</v>
      </c>
      <c r="K129">
        <v>49.372337770000001</v>
      </c>
      <c r="L129">
        <v>241.75042049999999</v>
      </c>
      <c r="M129">
        <v>17.039823210000002</v>
      </c>
      <c r="N129">
        <v>2.6009421879999999</v>
      </c>
      <c r="O129">
        <v>-0.125611046</v>
      </c>
      <c r="P129">
        <v>0.424351162</v>
      </c>
      <c r="Q129" t="s">
        <v>19</v>
      </c>
      <c r="R129" t="s">
        <v>21</v>
      </c>
      <c r="S129">
        <f>IF(R129="粉砂质泥岩",0,IF(R129="暗色泥岩",1,IF(R129="非均质砂岩",2,IF(R129="均质砂岩",3,IF(R129="黑色页岩",4,IF(R129="凝灰岩",5,""))))))</f>
        <v>2</v>
      </c>
    </row>
    <row r="130" spans="1:19" x14ac:dyDescent="0.2">
      <c r="A130" t="s">
        <v>28</v>
      </c>
      <c r="B130">
        <v>1793.0509</v>
      </c>
      <c r="C130">
        <v>1793.9404</v>
      </c>
      <c r="D130">
        <v>63.641578670000001</v>
      </c>
      <c r="E130">
        <v>3.0816781519999998</v>
      </c>
      <c r="F130">
        <v>261.02957529999998</v>
      </c>
      <c r="G130">
        <v>55.129209520000003</v>
      </c>
      <c r="H130">
        <v>49.078045369999998</v>
      </c>
      <c r="I130">
        <v>47.053793429999999</v>
      </c>
      <c r="J130">
        <v>48.890500070000002</v>
      </c>
      <c r="K130">
        <v>50.288715840000002</v>
      </c>
      <c r="L130">
        <v>300.51593780000002</v>
      </c>
      <c r="M130">
        <v>27.08435893</v>
      </c>
      <c r="N130">
        <v>2.5273447330000001</v>
      </c>
      <c r="O130">
        <v>-0.269990336</v>
      </c>
      <c r="P130">
        <v>1.0551478860000001</v>
      </c>
      <c r="Q130" t="s">
        <v>19</v>
      </c>
      <c r="R130" t="s">
        <v>20</v>
      </c>
      <c r="S130">
        <f>IF(R130="粉砂质泥岩",0,IF(R130="暗色泥岩",1,IF(R130="非均质砂岩",2,IF(R130="均质砂岩",3,IF(R130="黑色页岩",4,IF(R130="凝灰岩",5,""))))))</f>
        <v>1</v>
      </c>
    </row>
    <row r="131" spans="1:19" x14ac:dyDescent="0.2">
      <c r="A131" t="s">
        <v>28</v>
      </c>
      <c r="B131">
        <v>1793.9404</v>
      </c>
      <c r="C131">
        <v>1794.9141</v>
      </c>
      <c r="D131">
        <v>63.711238860000002</v>
      </c>
      <c r="E131">
        <v>2.9010704619999998</v>
      </c>
      <c r="F131">
        <v>144.20239770000001</v>
      </c>
      <c r="G131">
        <v>53.493214930000001</v>
      </c>
      <c r="H131">
        <v>48.551618789999999</v>
      </c>
      <c r="I131">
        <v>46.925949940000002</v>
      </c>
      <c r="J131">
        <v>50.300980039999999</v>
      </c>
      <c r="K131">
        <v>51.076211720000003</v>
      </c>
      <c r="L131">
        <v>247.25683090000001</v>
      </c>
      <c r="M131">
        <v>23.044940100000002</v>
      </c>
      <c r="N131">
        <v>2.5031551520000002</v>
      </c>
      <c r="O131">
        <v>-8.3975928000000005E-2</v>
      </c>
      <c r="P131">
        <v>0.47101199100000002</v>
      </c>
      <c r="Q131" t="s">
        <v>19</v>
      </c>
      <c r="R131" t="s">
        <v>21</v>
      </c>
      <c r="S131">
        <f>IF(R131="粉砂质泥岩",0,IF(R131="暗色泥岩",1,IF(R131="非均质砂岩",2,IF(R131="均质砂岩",3,IF(R131="黑色页岩",4,IF(R131="凝灰岩",5,""))))))</f>
        <v>2</v>
      </c>
    </row>
    <row r="132" spans="1:19" x14ac:dyDescent="0.2">
      <c r="A132" t="s">
        <v>28</v>
      </c>
      <c r="B132">
        <v>1794.9141</v>
      </c>
      <c r="C132">
        <v>1795.7609</v>
      </c>
      <c r="D132">
        <v>63.959534169999998</v>
      </c>
      <c r="E132">
        <v>3.1349317430000001</v>
      </c>
      <c r="F132">
        <v>241.5675468</v>
      </c>
      <c r="G132">
        <v>29.12094712</v>
      </c>
      <c r="H132">
        <v>28.136802429999999</v>
      </c>
      <c r="I132">
        <v>28.437758680000002</v>
      </c>
      <c r="J132">
        <v>30.021303419999999</v>
      </c>
      <c r="K132">
        <v>30.52213669</v>
      </c>
      <c r="L132">
        <v>277.71135329999998</v>
      </c>
      <c r="M132">
        <v>34.439480070000002</v>
      </c>
      <c r="N132">
        <v>2.5455708499999998</v>
      </c>
      <c r="O132">
        <v>-0.155369593</v>
      </c>
      <c r="P132">
        <v>0.95783773800000005</v>
      </c>
      <c r="Q132" t="s">
        <v>19</v>
      </c>
      <c r="R132" t="s">
        <v>20</v>
      </c>
      <c r="S132">
        <f>IF(R132="粉砂质泥岩",0,IF(R132="暗色泥岩",1,IF(R132="非均质砂岩",2,IF(R132="均质砂岩",3,IF(R132="黑色页岩",4,IF(R132="凝灰岩",5,""))))))</f>
        <v>1</v>
      </c>
    </row>
    <row r="133" spans="1:19" x14ac:dyDescent="0.2">
      <c r="A133" t="s">
        <v>28</v>
      </c>
      <c r="B133">
        <v>1795.7609</v>
      </c>
      <c r="C133">
        <v>1797.9619</v>
      </c>
      <c r="D133">
        <v>64.969656689999994</v>
      </c>
      <c r="E133">
        <v>2.6492503190000001</v>
      </c>
      <c r="F133">
        <v>111.5984433</v>
      </c>
      <c r="G133">
        <v>42.374453799999998</v>
      </c>
      <c r="H133">
        <v>38.01120487</v>
      </c>
      <c r="I133">
        <v>36.579531320000001</v>
      </c>
      <c r="J133">
        <v>37.802134870000003</v>
      </c>
      <c r="K133">
        <v>38.541299420000001</v>
      </c>
      <c r="L133">
        <v>229.21668690000001</v>
      </c>
      <c r="M133">
        <v>19.368755140000001</v>
      </c>
      <c r="N133">
        <v>2.5543170100000001</v>
      </c>
      <c r="O133">
        <v>-1.9518316000000001E-2</v>
      </c>
      <c r="P133">
        <v>0.30799221599999999</v>
      </c>
      <c r="Q133" t="s">
        <v>19</v>
      </c>
      <c r="R133" t="s">
        <v>21</v>
      </c>
      <c r="S133">
        <f>IF(R133="粉砂质泥岩",0,IF(R133="暗色泥岩",1,IF(R133="非均质砂岩",2,IF(R133="均质砂岩",3,IF(R133="黑色页岩",4,IF(R133="凝灰岩",5,""))))))</f>
        <v>2</v>
      </c>
    </row>
    <row r="134" spans="1:19" x14ac:dyDescent="0.2">
      <c r="A134" t="s">
        <v>28</v>
      </c>
      <c r="B134">
        <v>1797.9619</v>
      </c>
      <c r="C134">
        <v>1799.2318</v>
      </c>
      <c r="D134">
        <v>63.396807580000001</v>
      </c>
      <c r="E134">
        <v>3.1884268630000001</v>
      </c>
      <c r="F134">
        <v>129.82081740000001</v>
      </c>
      <c r="G134">
        <v>36.779212600000001</v>
      </c>
      <c r="H134">
        <v>31.32999229</v>
      </c>
      <c r="I134">
        <v>29.512531970000001</v>
      </c>
      <c r="J134">
        <v>29.52072854</v>
      </c>
      <c r="K134">
        <v>29.528696579999998</v>
      </c>
      <c r="L134">
        <v>231.6018191</v>
      </c>
      <c r="M134">
        <v>23.806751420000001</v>
      </c>
      <c r="N134">
        <v>2.6401942209999998</v>
      </c>
      <c r="O134">
        <v>-1.5656821000000001E-2</v>
      </c>
      <c r="P134">
        <v>0.39910409099999999</v>
      </c>
      <c r="Q134" t="s">
        <v>19</v>
      </c>
      <c r="R134" t="s">
        <v>22</v>
      </c>
      <c r="S134">
        <f>IF(R134="粉砂质泥岩",0,IF(R134="暗色泥岩",1,IF(R134="非均质砂岩",2,IF(R134="均质砂岩",3,IF(R134="黑色页岩",4,IF(R134="凝灰岩",5,""))))))</f>
        <v>0</v>
      </c>
    </row>
    <row r="135" spans="1:19" x14ac:dyDescent="0.2">
      <c r="A135" t="s">
        <v>28</v>
      </c>
      <c r="B135">
        <v>1799.2318</v>
      </c>
      <c r="C135">
        <v>1803.7192</v>
      </c>
      <c r="D135">
        <v>64.888497119999997</v>
      </c>
      <c r="E135">
        <v>2.9760546360000002</v>
      </c>
      <c r="F135">
        <v>101.5766022</v>
      </c>
      <c r="G135">
        <v>40.72784558</v>
      </c>
      <c r="H135">
        <v>39.116101190000002</v>
      </c>
      <c r="I135">
        <v>39.509194970000003</v>
      </c>
      <c r="J135">
        <v>40.890254970000001</v>
      </c>
      <c r="K135">
        <v>41.999260049999997</v>
      </c>
      <c r="L135">
        <v>219.6999256</v>
      </c>
      <c r="M135">
        <v>18.608805400000001</v>
      </c>
      <c r="N135">
        <v>2.6223173270000002</v>
      </c>
      <c r="O135">
        <v>1.0531097E-2</v>
      </c>
      <c r="P135">
        <v>0.25788301000000002</v>
      </c>
      <c r="Q135" t="s">
        <v>19</v>
      </c>
      <c r="R135" t="s">
        <v>21</v>
      </c>
      <c r="S135">
        <f>IF(R135="粉砂质泥岩",0,IF(R135="暗色泥岩",1,IF(R135="非均质砂岩",2,IF(R135="均质砂岩",3,IF(R135="黑色页岩",4,IF(R135="凝灰岩",5,""))))))</f>
        <v>2</v>
      </c>
    </row>
    <row r="136" spans="1:19" x14ac:dyDescent="0.2">
      <c r="A136" t="s">
        <v>28</v>
      </c>
      <c r="B136">
        <v>1803.7192</v>
      </c>
      <c r="C136">
        <v>1810.2380000000001</v>
      </c>
      <c r="D136">
        <v>67.103023739999998</v>
      </c>
      <c r="E136">
        <v>3.2338613199999999</v>
      </c>
      <c r="F136">
        <v>140.53715500000001</v>
      </c>
      <c r="G136">
        <v>34.932661850000002</v>
      </c>
      <c r="H136">
        <v>34.332882609999999</v>
      </c>
      <c r="I136">
        <v>34.332324440000001</v>
      </c>
      <c r="J136">
        <v>35.463162369999999</v>
      </c>
      <c r="K136">
        <v>36.238809330000002</v>
      </c>
      <c r="L136">
        <v>239.18552840000001</v>
      </c>
      <c r="M136">
        <v>25.255539519999999</v>
      </c>
      <c r="N136">
        <v>2.611021402</v>
      </c>
      <c r="O136">
        <v>-4.8755135999999998E-2</v>
      </c>
      <c r="P136">
        <v>0.45268577399999999</v>
      </c>
      <c r="Q136" t="s">
        <v>19</v>
      </c>
      <c r="R136" t="s">
        <v>22</v>
      </c>
      <c r="S136">
        <f>IF(R136="粉砂质泥岩",0,IF(R136="暗色泥岩",1,IF(R136="非均质砂岩",2,IF(R136="均质砂岩",3,IF(R136="黑色页岩",4,IF(R136="凝灰岩",5,""))))))</f>
        <v>0</v>
      </c>
    </row>
    <row r="137" spans="1:19" x14ac:dyDescent="0.2">
      <c r="A137" t="s">
        <v>28</v>
      </c>
      <c r="B137">
        <v>1810.2380000000001</v>
      </c>
      <c r="C137">
        <v>1811.2121999999999</v>
      </c>
      <c r="D137">
        <v>66.169580249999996</v>
      </c>
      <c r="E137">
        <v>3.2115288309999999</v>
      </c>
      <c r="F137">
        <v>325.1184184</v>
      </c>
      <c r="G137">
        <v>44.022601020000003</v>
      </c>
      <c r="H137">
        <v>40.863218519999997</v>
      </c>
      <c r="I137">
        <v>41.919788570000001</v>
      </c>
      <c r="J137">
        <v>45.451653800000003</v>
      </c>
      <c r="K137">
        <v>45.898952270000002</v>
      </c>
      <c r="L137">
        <v>298.98341199999999</v>
      </c>
      <c r="M137">
        <v>31.606166420000001</v>
      </c>
      <c r="N137">
        <v>2.4235398770000001</v>
      </c>
      <c r="O137">
        <v>-0.23407518699999999</v>
      </c>
      <c r="P137">
        <v>1.3755920989999999</v>
      </c>
      <c r="Q137" t="s">
        <v>19</v>
      </c>
      <c r="R137" t="s">
        <v>20</v>
      </c>
      <c r="S137">
        <f>IF(R137="粉砂质泥岩",0,IF(R137="暗色泥岩",1,IF(R137="非均质砂岩",2,IF(R137="均质砂岩",3,IF(R137="黑色页岩",4,IF(R137="凝灰岩",5,""))))))</f>
        <v>1</v>
      </c>
    </row>
    <row r="138" spans="1:19" x14ac:dyDescent="0.2">
      <c r="A138" t="s">
        <v>28</v>
      </c>
      <c r="B138">
        <v>1811.2121999999999</v>
      </c>
      <c r="C138">
        <v>1815.2760000000001</v>
      </c>
      <c r="D138">
        <v>66.378784850000002</v>
      </c>
      <c r="E138">
        <v>2.4933312010000002</v>
      </c>
      <c r="F138">
        <v>218.6714958</v>
      </c>
      <c r="G138">
        <v>25.568944649999999</v>
      </c>
      <c r="H138">
        <v>26.885680870000002</v>
      </c>
      <c r="I138">
        <v>27.739203119999999</v>
      </c>
      <c r="J138">
        <v>28.997742089999999</v>
      </c>
      <c r="K138">
        <v>29.662560580000001</v>
      </c>
      <c r="L138">
        <v>245.03446510000001</v>
      </c>
      <c r="M138">
        <v>21.091220010000001</v>
      </c>
      <c r="N138">
        <v>2.4414202330000001</v>
      </c>
      <c r="O138">
        <v>-4.4683006999999997E-2</v>
      </c>
      <c r="P138">
        <v>0.84335748099999996</v>
      </c>
      <c r="Q138" t="s">
        <v>19</v>
      </c>
      <c r="R138" t="s">
        <v>21</v>
      </c>
      <c r="S138">
        <f>IF(R138="粉砂质泥岩",0,IF(R138="暗色泥岩",1,IF(R138="非均质砂岩",2,IF(R138="均质砂岩",3,IF(R138="黑色页岩",4,IF(R138="凝灰岩",5,""))))))</f>
        <v>2</v>
      </c>
    </row>
    <row r="139" spans="1:19" x14ac:dyDescent="0.2">
      <c r="A139" t="s">
        <v>29</v>
      </c>
      <c r="B139">
        <v>1475.6238000000001</v>
      </c>
      <c r="C139">
        <v>1483.4032</v>
      </c>
      <c r="D139">
        <v>55.184558989999999</v>
      </c>
      <c r="E139">
        <v>2.7276716379999999</v>
      </c>
      <c r="F139">
        <v>98.245652340000007</v>
      </c>
      <c r="G139">
        <v>24.066337919999999</v>
      </c>
      <c r="H139">
        <v>21.394831109999998</v>
      </c>
      <c r="I139">
        <v>20.618243970000002</v>
      </c>
      <c r="J139">
        <v>20.45245177</v>
      </c>
      <c r="K139">
        <v>20.252466779999999</v>
      </c>
      <c r="L139">
        <v>237.07087319999999</v>
      </c>
      <c r="M139">
        <v>18.274883039999999</v>
      </c>
      <c r="N139">
        <v>2.5114291049999999</v>
      </c>
      <c r="O139">
        <v>-2.2907434000000001E-2</v>
      </c>
      <c r="P139">
        <v>0.241228262</v>
      </c>
      <c r="Q139" t="s">
        <v>19</v>
      </c>
      <c r="R139" t="s">
        <v>21</v>
      </c>
      <c r="S139">
        <f>IF(R139="粉砂质泥岩",0,IF(R139="暗色泥岩",1,IF(R139="非均质砂岩",2,IF(R139="均质砂岩",3,IF(R139="黑色页岩",4,IF(R139="凝灰岩",5,""))))))</f>
        <v>2</v>
      </c>
    </row>
    <row r="140" spans="1:19" x14ac:dyDescent="0.2">
      <c r="A140" t="s">
        <v>29</v>
      </c>
      <c r="B140">
        <v>1483.4032</v>
      </c>
      <c r="C140">
        <v>1495.0963999999999</v>
      </c>
      <c r="D140">
        <v>61.498608480000001</v>
      </c>
      <c r="E140">
        <v>3.1053408400000002</v>
      </c>
      <c r="F140">
        <v>145.56908670000001</v>
      </c>
      <c r="G140">
        <v>24.744994309999999</v>
      </c>
      <c r="H140">
        <v>22.62293227</v>
      </c>
      <c r="I140">
        <v>21.55838258</v>
      </c>
      <c r="J140">
        <v>21.56481162</v>
      </c>
      <c r="K140">
        <v>21.5245678</v>
      </c>
      <c r="L140">
        <v>251.83321129999999</v>
      </c>
      <c r="M140">
        <v>23.83393358</v>
      </c>
      <c r="N140">
        <v>2.5683764060000001</v>
      </c>
      <c r="O140">
        <v>-0.118325021</v>
      </c>
      <c r="P140">
        <v>0.47784543200000001</v>
      </c>
      <c r="Q140" t="s">
        <v>19</v>
      </c>
      <c r="R140" t="s">
        <v>22</v>
      </c>
      <c r="S140">
        <f>IF(R140="粉砂质泥岩",0,IF(R140="暗色泥岩",1,IF(R140="非均质砂岩",2,IF(R140="均质砂岩",3,IF(R140="黑色页岩",4,IF(R140="凝灰岩",5,""))))))</f>
        <v>0</v>
      </c>
    </row>
    <row r="141" spans="1:19" x14ac:dyDescent="0.2">
      <c r="A141" t="s">
        <v>29</v>
      </c>
      <c r="B141">
        <v>1495.0963999999999</v>
      </c>
      <c r="C141">
        <v>1497.7438</v>
      </c>
      <c r="D141">
        <v>46.133625379999998</v>
      </c>
      <c r="E141">
        <v>2.818696477</v>
      </c>
      <c r="F141">
        <v>92.455430460000002</v>
      </c>
      <c r="G141">
        <v>30.0322107</v>
      </c>
      <c r="H141">
        <v>23.396127700000001</v>
      </c>
      <c r="I141">
        <v>21.800402290000001</v>
      </c>
      <c r="J141">
        <v>21.45816898</v>
      </c>
      <c r="K141">
        <v>21.262045950000001</v>
      </c>
      <c r="L141">
        <v>231.73429250000001</v>
      </c>
      <c r="M141">
        <v>17.72252997</v>
      </c>
      <c r="N141">
        <v>2.5102265639999999</v>
      </c>
      <c r="O141">
        <v>-7.4263580000000001E-3</v>
      </c>
      <c r="P141">
        <v>0.21227715</v>
      </c>
      <c r="Q141" t="s">
        <v>19</v>
      </c>
      <c r="R141" t="s">
        <v>21</v>
      </c>
      <c r="S141">
        <f>IF(R141="粉砂质泥岩",0,IF(R141="暗色泥岩",1,IF(R141="非均质砂岩",2,IF(R141="均质砂岩",3,IF(R141="黑色页岩",4,IF(R141="凝灰岩",5,""))))))</f>
        <v>2</v>
      </c>
    </row>
    <row r="142" spans="1:19" x14ac:dyDescent="0.2">
      <c r="A142" t="s">
        <v>29</v>
      </c>
      <c r="B142">
        <v>1497.7438</v>
      </c>
      <c r="C142">
        <v>1498.5376000000001</v>
      </c>
      <c r="D142">
        <v>52.77300589</v>
      </c>
      <c r="E142">
        <v>2.8836715559999999</v>
      </c>
      <c r="F142">
        <v>126.5208533</v>
      </c>
      <c r="G142">
        <v>21.658872599999999</v>
      </c>
      <c r="H142">
        <v>20.996280939999998</v>
      </c>
      <c r="I142">
        <v>20.645392009999998</v>
      </c>
      <c r="J142">
        <v>20.5521916</v>
      </c>
      <c r="K142">
        <v>20.449501040000001</v>
      </c>
      <c r="L142">
        <v>236.8574873</v>
      </c>
      <c r="M142">
        <v>21.299428670000001</v>
      </c>
      <c r="N142">
        <v>2.5533793309999999</v>
      </c>
      <c r="O142">
        <v>-5.9958620999999997E-2</v>
      </c>
      <c r="P142">
        <v>0.382604271</v>
      </c>
      <c r="Q142" t="s">
        <v>19</v>
      </c>
      <c r="R142" t="s">
        <v>22</v>
      </c>
      <c r="S142">
        <f>IF(R142="粉砂质泥岩",0,IF(R142="暗色泥岩",1,IF(R142="非均质砂岩",2,IF(R142="均质砂岩",3,IF(R142="黑色页岩",4,IF(R142="凝灰岩",5,""))))))</f>
        <v>0</v>
      </c>
    </row>
    <row r="143" spans="1:19" x14ac:dyDescent="0.2">
      <c r="A143" t="s">
        <v>29</v>
      </c>
      <c r="B143">
        <v>1498.5376000000001</v>
      </c>
      <c r="C143">
        <v>1505.5754999999999</v>
      </c>
      <c r="D143">
        <v>56.038426450000003</v>
      </c>
      <c r="E143">
        <v>2.6598284749999999</v>
      </c>
      <c r="F143">
        <v>93.671769389999994</v>
      </c>
      <c r="G143">
        <v>22.071216580000002</v>
      </c>
      <c r="H143">
        <v>22.2348064</v>
      </c>
      <c r="I143">
        <v>21.971972350000001</v>
      </c>
      <c r="J143">
        <v>21.850580279999999</v>
      </c>
      <c r="K143">
        <v>21.68310644</v>
      </c>
      <c r="L143">
        <v>234.47170589999999</v>
      </c>
      <c r="M143">
        <v>16.9110303</v>
      </c>
      <c r="N143">
        <v>2.5099499600000001</v>
      </c>
      <c r="O143">
        <v>-2.2348119999999999E-2</v>
      </c>
      <c r="P143">
        <v>0.21835884799999999</v>
      </c>
      <c r="Q143" t="s">
        <v>19</v>
      </c>
      <c r="R143" t="s">
        <v>21</v>
      </c>
      <c r="S143">
        <f>IF(R143="粉砂质泥岩",0,IF(R143="暗色泥岩",1,IF(R143="非均质砂岩",2,IF(R143="均质砂岩",3,IF(R143="黑色页岩",4,IF(R143="凝灰岩",5,""))))))</f>
        <v>2</v>
      </c>
    </row>
    <row r="144" spans="1:19" x14ac:dyDescent="0.2">
      <c r="A144" t="s">
        <v>29</v>
      </c>
      <c r="B144">
        <v>1505.5754999999999</v>
      </c>
      <c r="C144">
        <v>1508.6432</v>
      </c>
      <c r="D144">
        <v>58.6824935</v>
      </c>
      <c r="E144">
        <v>2.7559630140000002</v>
      </c>
      <c r="F144">
        <v>101.87205299999999</v>
      </c>
      <c r="G144">
        <v>32.030130530000001</v>
      </c>
      <c r="H144">
        <v>24.18711347</v>
      </c>
      <c r="I144">
        <v>22.681871189999999</v>
      </c>
      <c r="J144">
        <v>22.238891089999999</v>
      </c>
      <c r="K144">
        <v>22.206642590000001</v>
      </c>
      <c r="L144">
        <v>231.3343835</v>
      </c>
      <c r="M144">
        <v>15.989553709999999</v>
      </c>
      <c r="N144">
        <v>2.542240235</v>
      </c>
      <c r="O144">
        <v>-3.9048614000000002E-2</v>
      </c>
      <c r="P144">
        <v>0.25936026600000001</v>
      </c>
      <c r="Q144" t="s">
        <v>19</v>
      </c>
      <c r="R144" t="s">
        <v>21</v>
      </c>
      <c r="S144">
        <f>IF(R144="粉砂质泥岩",0,IF(R144="暗色泥岩",1,IF(R144="非均质砂岩",2,IF(R144="均质砂岩",3,IF(R144="黑色页岩",4,IF(R144="凝灰岩",5,""))))))</f>
        <v>2</v>
      </c>
    </row>
    <row r="145" spans="1:19" x14ac:dyDescent="0.2">
      <c r="A145" t="s">
        <v>29</v>
      </c>
      <c r="B145">
        <v>1508.6432</v>
      </c>
      <c r="C145">
        <v>1509.7544</v>
      </c>
      <c r="D145">
        <v>59.237305069999998</v>
      </c>
      <c r="E145">
        <v>3.1227642539999998</v>
      </c>
      <c r="F145">
        <v>177.48195340000001</v>
      </c>
      <c r="G145">
        <v>33.278943249999998</v>
      </c>
      <c r="H145">
        <v>25.389217760000001</v>
      </c>
      <c r="I145">
        <v>24.031197169999999</v>
      </c>
      <c r="J145">
        <v>23.34693098</v>
      </c>
      <c r="K145">
        <v>23.105434039999999</v>
      </c>
      <c r="L145">
        <v>259.18872679999998</v>
      </c>
      <c r="M145">
        <v>26.557075879999999</v>
      </c>
      <c r="N145">
        <v>2.5380281689999999</v>
      </c>
      <c r="O145">
        <v>-0.15053745700000001</v>
      </c>
      <c r="P145">
        <v>0.63740976999999999</v>
      </c>
      <c r="Q145" t="s">
        <v>19</v>
      </c>
      <c r="R145" t="s">
        <v>20</v>
      </c>
      <c r="S145">
        <f>IF(R145="粉砂质泥岩",0,IF(R145="暗色泥岩",1,IF(R145="非均质砂岩",2,IF(R145="均质砂岩",3,IF(R145="黑色页岩",4,IF(R145="凝灰岩",5,""))))))</f>
        <v>1</v>
      </c>
    </row>
    <row r="146" spans="1:19" x14ac:dyDescent="0.2">
      <c r="A146" t="s">
        <v>29</v>
      </c>
      <c r="B146">
        <v>1509.7544</v>
      </c>
      <c r="C146">
        <v>1512.5060000000001</v>
      </c>
      <c r="D146">
        <v>54.857633010000001</v>
      </c>
      <c r="E146">
        <v>2.6810197100000002</v>
      </c>
      <c r="F146">
        <v>103.5382647</v>
      </c>
      <c r="G146">
        <v>16.45227598</v>
      </c>
      <c r="H146">
        <v>16.045280420000001</v>
      </c>
      <c r="I146">
        <v>15.31101745</v>
      </c>
      <c r="J146">
        <v>14.67437271</v>
      </c>
      <c r="K146">
        <v>14.270586509999999</v>
      </c>
      <c r="L146">
        <v>237.54636479999999</v>
      </c>
      <c r="M146">
        <v>18.378654019999999</v>
      </c>
      <c r="N146">
        <v>2.5013647909999999</v>
      </c>
      <c r="O146">
        <v>-3.3399563E-2</v>
      </c>
      <c r="P146">
        <v>0.26769132400000001</v>
      </c>
      <c r="Q146" t="s">
        <v>19</v>
      </c>
      <c r="R146" t="s">
        <v>21</v>
      </c>
      <c r="S146">
        <f>IF(R146="粉砂质泥岩",0,IF(R146="暗色泥岩",1,IF(R146="非均质砂岩",2,IF(R146="均质砂岩",3,IF(R146="黑色页岩",4,IF(R146="凝灰岩",5,""))))))</f>
        <v>2</v>
      </c>
    </row>
    <row r="147" spans="1:19" x14ac:dyDescent="0.2">
      <c r="A147" t="s">
        <v>29</v>
      </c>
      <c r="B147">
        <v>1512.5060000000001</v>
      </c>
      <c r="C147">
        <v>1513.2989</v>
      </c>
      <c r="D147">
        <v>49.311254769999998</v>
      </c>
      <c r="E147">
        <v>3.1439217500000001</v>
      </c>
      <c r="F147">
        <v>70.718539649999997</v>
      </c>
      <c r="G147">
        <v>83.758332929999995</v>
      </c>
      <c r="H147">
        <v>52.10103471</v>
      </c>
      <c r="I147">
        <v>40.637315749999999</v>
      </c>
      <c r="J147">
        <v>34.402679310000003</v>
      </c>
      <c r="K147">
        <v>33.126849989999997</v>
      </c>
      <c r="L147">
        <v>188.0042746</v>
      </c>
      <c r="M147">
        <v>7.6896813259999997</v>
      </c>
      <c r="N147">
        <v>2.6544380529999998</v>
      </c>
      <c r="O147">
        <v>2.2066354999999999E-2</v>
      </c>
      <c r="P147">
        <v>0.103592698</v>
      </c>
      <c r="Q147" t="s">
        <v>19</v>
      </c>
      <c r="R147" t="s">
        <v>23</v>
      </c>
      <c r="S147">
        <f>IF(R147="粉砂质泥岩",0,IF(R147="暗色泥岩",1,IF(R147="非均质砂岩",2,IF(R147="均质砂岩",3,IF(R147="黑色页岩",4,IF(R147="凝灰岩",5,""))))))</f>
        <v>3</v>
      </c>
    </row>
    <row r="148" spans="1:19" x14ac:dyDescent="0.2">
      <c r="A148" t="s">
        <v>29</v>
      </c>
      <c r="B148">
        <v>1513.2989</v>
      </c>
      <c r="C148">
        <v>1530.8149000000001</v>
      </c>
      <c r="D148">
        <v>58.143724400000004</v>
      </c>
      <c r="E148">
        <v>2.7515823130000001</v>
      </c>
      <c r="F148">
        <v>98.221841040000001</v>
      </c>
      <c r="G148">
        <v>20.306441379999999</v>
      </c>
      <c r="H148">
        <v>18.87551831</v>
      </c>
      <c r="I148">
        <v>18.12335229</v>
      </c>
      <c r="J148">
        <v>17.758158720000001</v>
      </c>
      <c r="K148">
        <v>17.521875959999999</v>
      </c>
      <c r="L148">
        <v>233.18537900000001</v>
      </c>
      <c r="M148">
        <v>16.7785616</v>
      </c>
      <c r="N148">
        <v>2.521805241</v>
      </c>
      <c r="O148">
        <v>-2.8776051E-2</v>
      </c>
      <c r="P148">
        <v>0.24110920499999999</v>
      </c>
      <c r="Q148" t="s">
        <v>19</v>
      </c>
      <c r="R148" t="s">
        <v>21</v>
      </c>
      <c r="S148">
        <f>IF(R148="粉砂质泥岩",0,IF(R148="暗色泥岩",1,IF(R148="非均质砂岩",2,IF(R148="均质砂岩",3,IF(R148="黑色页岩",4,IF(R148="凝灰岩",5,""))))))</f>
        <v>2</v>
      </c>
    </row>
    <row r="149" spans="1:19" x14ac:dyDescent="0.2">
      <c r="A149" t="s">
        <v>29</v>
      </c>
      <c r="B149">
        <v>1530.8149000000001</v>
      </c>
      <c r="C149">
        <v>1532.4033999999999</v>
      </c>
      <c r="D149">
        <v>60.829830710000003</v>
      </c>
      <c r="E149">
        <v>2.9632942</v>
      </c>
      <c r="F149">
        <v>118.1285493</v>
      </c>
      <c r="G149">
        <v>23.4204528</v>
      </c>
      <c r="H149">
        <v>22.91917488</v>
      </c>
      <c r="I149">
        <v>21.970166750000001</v>
      </c>
      <c r="J149">
        <v>21.85413497</v>
      </c>
      <c r="K149">
        <v>21.286334719999999</v>
      </c>
      <c r="L149">
        <v>226.65567780000001</v>
      </c>
      <c r="M149">
        <v>17.18634789</v>
      </c>
      <c r="N149">
        <v>2.5854483670000001</v>
      </c>
      <c r="O149">
        <v>-6.1303653999999999E-2</v>
      </c>
      <c r="P149">
        <v>0.340642744</v>
      </c>
      <c r="Q149" t="s">
        <v>19</v>
      </c>
      <c r="R149" t="s">
        <v>22</v>
      </c>
      <c r="S149">
        <f>IF(R149="粉砂质泥岩",0,IF(R149="暗色泥岩",1,IF(R149="非均质砂岩",2,IF(R149="均质砂岩",3,IF(R149="黑色页岩",4,IF(R149="凝灰岩",5,""))))))</f>
        <v>0</v>
      </c>
    </row>
    <row r="150" spans="1:19" x14ac:dyDescent="0.2">
      <c r="A150" t="s">
        <v>29</v>
      </c>
      <c r="B150">
        <v>1532.4033999999999</v>
      </c>
      <c r="C150">
        <v>1533.9393</v>
      </c>
      <c r="D150">
        <v>60.042806480000003</v>
      </c>
      <c r="E150">
        <v>2.7828659089999999</v>
      </c>
      <c r="F150">
        <v>88.134634160000004</v>
      </c>
      <c r="G150">
        <v>21.733264340000002</v>
      </c>
      <c r="H150">
        <v>20.800070689999998</v>
      </c>
      <c r="I150">
        <v>20.067060179999999</v>
      </c>
      <c r="J150">
        <v>19.98510654</v>
      </c>
      <c r="K150">
        <v>19.738167099999998</v>
      </c>
      <c r="L150">
        <v>237.09676300000001</v>
      </c>
      <c r="M150">
        <v>16.988563240000001</v>
      </c>
      <c r="N150">
        <v>2.508623472</v>
      </c>
      <c r="O150">
        <v>-2.1561855000000001E-2</v>
      </c>
      <c r="P150">
        <v>0.190673171</v>
      </c>
      <c r="Q150" t="s">
        <v>19</v>
      </c>
      <c r="R150" t="s">
        <v>21</v>
      </c>
      <c r="S150">
        <f>IF(R150="粉砂质泥岩",0,IF(R150="暗色泥岩",1,IF(R150="非均质砂岩",2,IF(R150="均质砂岩",3,IF(R150="黑色页岩",4,IF(R150="凝灰岩",5,""))))))</f>
        <v>2</v>
      </c>
    </row>
    <row r="151" spans="1:19" x14ac:dyDescent="0.2">
      <c r="A151" t="s">
        <v>29</v>
      </c>
      <c r="B151">
        <v>1533.9393</v>
      </c>
      <c r="C151">
        <v>1535.6315</v>
      </c>
      <c r="D151">
        <v>61.681395209999998</v>
      </c>
      <c r="E151">
        <v>3.0586774189999999</v>
      </c>
      <c r="F151">
        <v>150.87243860000001</v>
      </c>
      <c r="G151">
        <v>20.62793967</v>
      </c>
      <c r="H151">
        <v>18.84506086</v>
      </c>
      <c r="I151">
        <v>18.121744410000002</v>
      </c>
      <c r="J151">
        <v>17.961038840000001</v>
      </c>
      <c r="K151">
        <v>17.966955689999999</v>
      </c>
      <c r="L151">
        <v>253.1530223</v>
      </c>
      <c r="M151">
        <v>23.594188819999999</v>
      </c>
      <c r="N151">
        <v>2.5491095700000002</v>
      </c>
      <c r="O151">
        <v>-0.16425645899999999</v>
      </c>
      <c r="P151">
        <v>0.50436219400000004</v>
      </c>
      <c r="Q151" t="s">
        <v>19</v>
      </c>
      <c r="R151" t="s">
        <v>20</v>
      </c>
      <c r="S151">
        <f>IF(R151="粉砂质泥岩",0,IF(R151="暗色泥岩",1,IF(R151="非均质砂岩",2,IF(R151="均质砂岩",3,IF(R151="黑色页岩",4,IF(R151="凝灰岩",5,""))))))</f>
        <v>1</v>
      </c>
    </row>
    <row r="152" spans="1:19" x14ac:dyDescent="0.2">
      <c r="A152" t="s">
        <v>29</v>
      </c>
      <c r="B152">
        <v>1535.6315</v>
      </c>
      <c r="C152">
        <v>1537.4302</v>
      </c>
      <c r="D152">
        <v>60.8291982</v>
      </c>
      <c r="E152">
        <v>3.1710049950000001</v>
      </c>
      <c r="F152">
        <v>113.01565859999999</v>
      </c>
      <c r="G152">
        <v>37.758953220000002</v>
      </c>
      <c r="H152">
        <v>29.382089359999998</v>
      </c>
      <c r="I152">
        <v>27.39673093</v>
      </c>
      <c r="J152">
        <v>27.2869353</v>
      </c>
      <c r="K152">
        <v>27.0466081</v>
      </c>
      <c r="L152">
        <v>233.9752177</v>
      </c>
      <c r="M152">
        <v>17.794531500000002</v>
      </c>
      <c r="N152">
        <v>2.5760691480000002</v>
      </c>
      <c r="O152">
        <v>-5.0097601999999998E-2</v>
      </c>
      <c r="P152">
        <v>0.31507829199999998</v>
      </c>
      <c r="Q152" t="s">
        <v>19</v>
      </c>
      <c r="R152" t="s">
        <v>21</v>
      </c>
      <c r="S152">
        <f>IF(R152="粉砂质泥岩",0,IF(R152="暗色泥岩",1,IF(R152="非均质砂岩",2,IF(R152="均质砂岩",3,IF(R152="黑色页岩",4,IF(R152="凝灰岩",5,""))))))</f>
        <v>2</v>
      </c>
    </row>
    <row r="153" spans="1:19" x14ac:dyDescent="0.2">
      <c r="A153" t="s">
        <v>29</v>
      </c>
      <c r="B153">
        <v>1537.4302</v>
      </c>
      <c r="C153">
        <v>1539.8634999999999</v>
      </c>
      <c r="D153">
        <v>59.557084850000003</v>
      </c>
      <c r="E153">
        <v>3.232741463</v>
      </c>
      <c r="F153">
        <v>160.74528810000001</v>
      </c>
      <c r="G153">
        <v>34.152527710000001</v>
      </c>
      <c r="H153">
        <v>28.441302109999999</v>
      </c>
      <c r="I153">
        <v>26.741569999999999</v>
      </c>
      <c r="J153">
        <v>26.422107409999999</v>
      </c>
      <c r="K153">
        <v>25.792547890000002</v>
      </c>
      <c r="L153">
        <v>254.74770659999999</v>
      </c>
      <c r="M153">
        <v>27.403346819999999</v>
      </c>
      <c r="N153">
        <v>2.6002662060000001</v>
      </c>
      <c r="O153">
        <v>-0.14603090899999999</v>
      </c>
      <c r="P153">
        <v>0.55372644100000001</v>
      </c>
      <c r="Q153" t="s">
        <v>19</v>
      </c>
      <c r="R153" t="s">
        <v>22</v>
      </c>
      <c r="S153">
        <f>IF(R153="粉砂质泥岩",0,IF(R153="暗色泥岩",1,IF(R153="非均质砂岩",2,IF(R153="均质砂岩",3,IF(R153="黑色页岩",4,IF(R153="凝灰岩",5,""))))))</f>
        <v>0</v>
      </c>
    </row>
    <row r="154" spans="1:19" x14ac:dyDescent="0.2">
      <c r="A154" t="s">
        <v>29</v>
      </c>
      <c r="B154">
        <v>1539.8634999999999</v>
      </c>
      <c r="C154">
        <v>1547.6418000000001</v>
      </c>
      <c r="D154">
        <v>54.807172379999997</v>
      </c>
      <c r="E154">
        <v>2.7097663160000001</v>
      </c>
      <c r="F154">
        <v>96.464004149999994</v>
      </c>
      <c r="G154">
        <v>17.660013469999999</v>
      </c>
      <c r="H154">
        <v>15.848460210000001</v>
      </c>
      <c r="I154">
        <v>15.322101910000001</v>
      </c>
      <c r="J154">
        <v>15.157619609999999</v>
      </c>
      <c r="K154">
        <v>14.861569429999999</v>
      </c>
      <c r="L154">
        <v>238.7133566</v>
      </c>
      <c r="M154">
        <v>17.180913</v>
      </c>
      <c r="N154">
        <v>2.5021926749999999</v>
      </c>
      <c r="O154">
        <v>-3.7071916000000003E-2</v>
      </c>
      <c r="P154">
        <v>0.23232001999999999</v>
      </c>
      <c r="Q154" t="s">
        <v>19</v>
      </c>
      <c r="R154" t="s">
        <v>21</v>
      </c>
      <c r="S154">
        <f>IF(R154="粉砂质泥岩",0,IF(R154="暗色泥岩",1,IF(R154="非均质砂岩",2,IF(R154="均质砂岩",3,IF(R154="黑色页岩",4,IF(R154="凝灰岩",5,""))))))</f>
        <v>2</v>
      </c>
    </row>
    <row r="155" spans="1:19" x14ac:dyDescent="0.2">
      <c r="A155" t="s">
        <v>29</v>
      </c>
      <c r="B155">
        <v>1547.6418000000001</v>
      </c>
      <c r="C155">
        <v>1551.5048999999999</v>
      </c>
      <c r="D155">
        <v>61.16185772</v>
      </c>
      <c r="E155">
        <v>3.2470276130000002</v>
      </c>
      <c r="F155">
        <v>154.96787309999999</v>
      </c>
      <c r="G155">
        <v>21.969246689999999</v>
      </c>
      <c r="H155">
        <v>23.021027270000001</v>
      </c>
      <c r="I155">
        <v>23.15682846</v>
      </c>
      <c r="J155">
        <v>23.014834050000001</v>
      </c>
      <c r="K155">
        <v>22.958095969999999</v>
      </c>
      <c r="L155">
        <v>250.4616499</v>
      </c>
      <c r="M155">
        <v>24.878542840000001</v>
      </c>
      <c r="N155">
        <v>2.586683705</v>
      </c>
      <c r="O155">
        <v>-0.156277902</v>
      </c>
      <c r="P155">
        <v>0.52483936799999997</v>
      </c>
      <c r="Q155" t="s">
        <v>19</v>
      </c>
      <c r="R155" t="s">
        <v>20</v>
      </c>
      <c r="S155">
        <f>IF(R155="粉砂质泥岩",0,IF(R155="暗色泥岩",1,IF(R155="非均质砂岩",2,IF(R155="均质砂岩",3,IF(R155="黑色页岩",4,IF(R155="凝灰岩",5,""))))))</f>
        <v>1</v>
      </c>
    </row>
    <row r="156" spans="1:19" x14ac:dyDescent="0.2">
      <c r="A156" t="s">
        <v>29</v>
      </c>
      <c r="B156">
        <v>1551.5048999999999</v>
      </c>
      <c r="C156">
        <v>1562.5643</v>
      </c>
      <c r="D156">
        <v>58.579427180000003</v>
      </c>
      <c r="E156">
        <v>3.4786165320000002</v>
      </c>
      <c r="F156">
        <v>326.75506610000002</v>
      </c>
      <c r="G156">
        <v>187.9092067</v>
      </c>
      <c r="H156">
        <v>198.68934530000001</v>
      </c>
      <c r="I156">
        <v>104.9355626</v>
      </c>
      <c r="J156">
        <v>115.2814944</v>
      </c>
      <c r="K156">
        <v>114.9743354</v>
      </c>
      <c r="L156">
        <v>323.25096389999999</v>
      </c>
      <c r="M156">
        <v>41.97941952</v>
      </c>
      <c r="N156">
        <v>2.3041393270000001</v>
      </c>
      <c r="O156">
        <v>-0.185035805</v>
      </c>
      <c r="P156">
        <v>1.3837753260000001</v>
      </c>
      <c r="Q156" t="s">
        <v>19</v>
      </c>
      <c r="R156" t="s">
        <v>25</v>
      </c>
      <c r="S156">
        <f>IF(R156="粉砂质泥岩",0,IF(R156="暗色泥岩",1,IF(R156="非均质砂岩",2,IF(R156="均质砂岩",3,IF(R156="黑色页岩",4,IF(R156="凝灰岩",5,""))))))</f>
        <v>4</v>
      </c>
    </row>
    <row r="157" spans="1:19" x14ac:dyDescent="0.2">
      <c r="A157" t="s">
        <v>29</v>
      </c>
      <c r="B157">
        <v>1562.5643</v>
      </c>
      <c r="C157">
        <v>1563.7295999999999</v>
      </c>
      <c r="D157">
        <v>54.239898680000003</v>
      </c>
      <c r="E157">
        <v>3.2822114469999999</v>
      </c>
      <c r="F157">
        <v>318.8081009</v>
      </c>
      <c r="G157">
        <v>47.403436280000001</v>
      </c>
      <c r="H157">
        <v>59.682931519999997</v>
      </c>
      <c r="I157">
        <v>62.269046779999996</v>
      </c>
      <c r="J157">
        <v>63.59456711</v>
      </c>
      <c r="K157">
        <v>69.779266739999997</v>
      </c>
      <c r="L157">
        <v>307.02227019999998</v>
      </c>
      <c r="M157">
        <v>35.892300220000003</v>
      </c>
      <c r="N157">
        <v>2.3714996340000001</v>
      </c>
      <c r="O157">
        <v>-0.20948398100000001</v>
      </c>
      <c r="P157">
        <v>1.3440405070000001</v>
      </c>
      <c r="Q157" t="s">
        <v>19</v>
      </c>
      <c r="R157" t="s">
        <v>20</v>
      </c>
      <c r="S157">
        <f>IF(R157="粉砂质泥岩",0,IF(R157="暗色泥岩",1,IF(R157="非均质砂岩",2,IF(R157="均质砂岩",3,IF(R157="黑色页岩",4,IF(R157="凝灰岩",5,""))))))</f>
        <v>1</v>
      </c>
    </row>
    <row r="158" spans="1:19" x14ac:dyDescent="0.2">
      <c r="A158" t="s">
        <v>29</v>
      </c>
      <c r="B158">
        <v>1563.7295999999999</v>
      </c>
      <c r="C158">
        <v>1566.9575</v>
      </c>
      <c r="D158">
        <v>58.503517719999998</v>
      </c>
      <c r="E158">
        <v>2.8642810359999999</v>
      </c>
      <c r="F158">
        <v>185.51296009999999</v>
      </c>
      <c r="G158">
        <v>133.02702489999999</v>
      </c>
      <c r="H158">
        <v>155.791392</v>
      </c>
      <c r="I158">
        <v>146.98729030000001</v>
      </c>
      <c r="J158">
        <v>157.43480579999999</v>
      </c>
      <c r="K158">
        <v>171.14048769999999</v>
      </c>
      <c r="L158">
        <v>262.03695060000001</v>
      </c>
      <c r="M158">
        <v>22.805431299999999</v>
      </c>
      <c r="N158">
        <v>2.4402780270000002</v>
      </c>
      <c r="O158">
        <v>-0.20941131499999999</v>
      </c>
      <c r="P158">
        <v>0.67756480200000002</v>
      </c>
      <c r="Q158" t="s">
        <v>19</v>
      </c>
      <c r="R158" t="s">
        <v>22</v>
      </c>
      <c r="S158">
        <f>IF(R158="粉砂质泥岩",0,IF(R158="暗色泥岩",1,IF(R158="非均质砂岩",2,IF(R158="均质砂岩",3,IF(R158="黑色页岩",4,IF(R158="凝灰岩",5,""))))))</f>
        <v>0</v>
      </c>
    </row>
    <row r="159" spans="1:19" x14ac:dyDescent="0.2">
      <c r="A159" t="s">
        <v>29</v>
      </c>
      <c r="B159">
        <v>1566.9575</v>
      </c>
      <c r="C159">
        <v>1568.8096</v>
      </c>
      <c r="D159">
        <v>61.536892180000002</v>
      </c>
      <c r="E159">
        <v>2.7382800430000001</v>
      </c>
      <c r="F159">
        <v>118.6263671</v>
      </c>
      <c r="G159">
        <v>252.4688439</v>
      </c>
      <c r="H159">
        <v>217.45328190000001</v>
      </c>
      <c r="I159">
        <v>175.80212309999999</v>
      </c>
      <c r="J159">
        <v>192.7256002</v>
      </c>
      <c r="K159">
        <v>213.1179128</v>
      </c>
      <c r="L159">
        <v>238.72822859999999</v>
      </c>
      <c r="M159">
        <v>18.645745990000002</v>
      </c>
      <c r="N159">
        <v>2.4640608429999999</v>
      </c>
      <c r="O159">
        <v>-2.1549603000000001E-2</v>
      </c>
      <c r="P159">
        <v>0.34313183899999999</v>
      </c>
      <c r="Q159" t="s">
        <v>19</v>
      </c>
      <c r="R159" t="s">
        <v>21</v>
      </c>
      <c r="S159">
        <f>IF(R159="粉砂质泥岩",0,IF(R159="暗色泥岩",1,IF(R159="非均质砂岩",2,IF(R159="均质砂岩",3,IF(R159="黑色页岩",4,IF(R159="凝灰岩",5,""))))))</f>
        <v>2</v>
      </c>
    </row>
    <row r="160" spans="1:19" x14ac:dyDescent="0.2">
      <c r="A160" t="s">
        <v>29</v>
      </c>
      <c r="B160">
        <v>1568.8096</v>
      </c>
      <c r="C160">
        <v>1571.9314999999999</v>
      </c>
      <c r="D160">
        <v>54.667952020000001</v>
      </c>
      <c r="E160">
        <v>3.232440059</v>
      </c>
      <c r="F160">
        <v>252.6379541</v>
      </c>
      <c r="G160">
        <v>251.55664049999999</v>
      </c>
      <c r="H160">
        <v>143.97401600000001</v>
      </c>
      <c r="I160">
        <v>151.26026870000001</v>
      </c>
      <c r="J160">
        <v>204.9445661</v>
      </c>
      <c r="K160">
        <v>180.88779389999999</v>
      </c>
      <c r="L160">
        <v>283.2537284</v>
      </c>
      <c r="M160">
        <v>28.451911930000001</v>
      </c>
      <c r="N160">
        <v>2.3724437680000001</v>
      </c>
      <c r="O160">
        <v>-0.22642949100000001</v>
      </c>
      <c r="P160">
        <v>1.0131897649999999</v>
      </c>
      <c r="Q160" t="s">
        <v>19</v>
      </c>
      <c r="R160" t="s">
        <v>20</v>
      </c>
      <c r="S160">
        <f>IF(R160="粉砂质泥岩",0,IF(R160="暗色泥岩",1,IF(R160="非均质砂岩",2,IF(R160="均质砂岩",3,IF(R160="黑色页岩",4,IF(R160="凝灰岩",5,""))))))</f>
        <v>1</v>
      </c>
    </row>
    <row r="161" spans="1:19" x14ac:dyDescent="0.2">
      <c r="A161" t="s">
        <v>29</v>
      </c>
      <c r="B161">
        <v>1571.9314999999999</v>
      </c>
      <c r="C161">
        <v>1573.4659999999999</v>
      </c>
      <c r="D161">
        <v>56.563754160000002</v>
      </c>
      <c r="E161">
        <v>2.940900509</v>
      </c>
      <c r="F161">
        <v>118.08578730000001</v>
      </c>
      <c r="G161">
        <v>300.31577399999998</v>
      </c>
      <c r="H161">
        <v>287.2106837</v>
      </c>
      <c r="I161">
        <v>242.7161318</v>
      </c>
      <c r="J161">
        <v>239.88018529999999</v>
      </c>
      <c r="K161">
        <v>235.04797199999999</v>
      </c>
      <c r="L161">
        <v>215.42611460000001</v>
      </c>
      <c r="M161">
        <v>14.45860555</v>
      </c>
      <c r="N161">
        <v>2.5184655920000001</v>
      </c>
      <c r="O161">
        <v>-6.2645666000000003E-2</v>
      </c>
      <c r="P161">
        <v>0.34042894000000001</v>
      </c>
      <c r="Q161" t="s">
        <v>19</v>
      </c>
      <c r="R161" t="s">
        <v>21</v>
      </c>
      <c r="S161">
        <f>IF(R161="粉砂质泥岩",0,IF(R161="暗色泥岩",1,IF(R161="非均质砂岩",2,IF(R161="均质砂岩",3,IF(R161="黑色页岩",4,IF(R161="凝灰岩",5,""))))))</f>
        <v>2</v>
      </c>
    </row>
    <row r="162" spans="1:19" x14ac:dyDescent="0.2">
      <c r="A162" t="s">
        <v>29</v>
      </c>
      <c r="B162">
        <v>1573.4659999999999</v>
      </c>
      <c r="C162">
        <v>1576.3751999999999</v>
      </c>
      <c r="D162">
        <v>59.830750940000001</v>
      </c>
      <c r="E162">
        <v>2.6931956810000002</v>
      </c>
      <c r="F162">
        <v>181.7818623</v>
      </c>
      <c r="G162">
        <v>34.532952860000002</v>
      </c>
      <c r="H162">
        <v>29.544788960000002</v>
      </c>
      <c r="I162">
        <v>25.828264749999999</v>
      </c>
      <c r="J162">
        <v>25.938074069999999</v>
      </c>
      <c r="K162">
        <v>25.446008920000001</v>
      </c>
      <c r="L162">
        <v>288.23120820000003</v>
      </c>
      <c r="M162">
        <v>29.04001633</v>
      </c>
      <c r="N162">
        <v>2.387554159</v>
      </c>
      <c r="O162">
        <v>-0.235299858</v>
      </c>
      <c r="P162">
        <v>0.65890931200000002</v>
      </c>
      <c r="Q162" t="s">
        <v>19</v>
      </c>
      <c r="R162" t="s">
        <v>24</v>
      </c>
      <c r="S162">
        <f>IF(R162="粉砂质泥岩",0,IF(R162="暗色泥岩",1,IF(R162="非均质砂岩",2,IF(R162="均质砂岩",3,IF(R162="黑色页岩",4,IF(R162="凝灰岩",5,""))))))</f>
        <v>5</v>
      </c>
    </row>
    <row r="163" spans="1:19" x14ac:dyDescent="0.2">
      <c r="A163" t="s">
        <v>30</v>
      </c>
      <c r="B163">
        <v>1304.1532999999999</v>
      </c>
      <c r="C163">
        <v>1305.1159</v>
      </c>
      <c r="D163">
        <v>63.554056799999998</v>
      </c>
      <c r="E163">
        <v>3.7285377710000001</v>
      </c>
      <c r="F163">
        <v>243.01102359999999</v>
      </c>
      <c r="G163">
        <v>20.527420039999999</v>
      </c>
      <c r="H163">
        <v>24.372224379999999</v>
      </c>
      <c r="I163">
        <v>23.02770975</v>
      </c>
      <c r="J163">
        <v>22.50024329</v>
      </c>
      <c r="K163">
        <v>23.035147980000001</v>
      </c>
      <c r="L163">
        <v>294.7973768</v>
      </c>
      <c r="M163">
        <v>34.522556299999998</v>
      </c>
      <c r="N163">
        <v>2.4663844899999998</v>
      </c>
      <c r="O163">
        <v>-0.19177413600000001</v>
      </c>
      <c r="P163">
        <v>0.96505509499999997</v>
      </c>
      <c r="Q163" t="s">
        <v>19</v>
      </c>
      <c r="R163" t="s">
        <v>20</v>
      </c>
      <c r="S163">
        <f>IF(R163="粉砂质泥岩",0,IF(R163="暗色泥岩",1,IF(R163="非均质砂岩",2,IF(R163="均质砂岩",3,IF(R163="黑色页岩",4,IF(R163="凝灰岩",5,""))))))</f>
        <v>1</v>
      </c>
    </row>
    <row r="164" spans="1:19" x14ac:dyDescent="0.2">
      <c r="A164" t="s">
        <v>30</v>
      </c>
      <c r="B164">
        <v>1305.1159</v>
      </c>
      <c r="C164">
        <v>1305.8717999999999</v>
      </c>
      <c r="D164">
        <v>63.901798790000001</v>
      </c>
      <c r="E164">
        <v>3.553705726</v>
      </c>
      <c r="F164">
        <v>162.82742959999999</v>
      </c>
      <c r="G164">
        <v>21.753616879999999</v>
      </c>
      <c r="H164">
        <v>24.832093919999998</v>
      </c>
      <c r="I164">
        <v>23.603474479999999</v>
      </c>
      <c r="J164">
        <v>22.68654278</v>
      </c>
      <c r="K164">
        <v>22.025044300000001</v>
      </c>
      <c r="L164">
        <v>261.86935419999998</v>
      </c>
      <c r="M164">
        <v>28.468142919999998</v>
      </c>
      <c r="N164">
        <v>2.6003643099999998</v>
      </c>
      <c r="O164">
        <v>-0.13239857699999999</v>
      </c>
      <c r="P164">
        <v>0.56413714400000003</v>
      </c>
      <c r="Q164" t="s">
        <v>19</v>
      </c>
      <c r="R164" t="s">
        <v>22</v>
      </c>
      <c r="S164">
        <f>IF(R164="粉砂质泥岩",0,IF(R164="暗色泥岩",1,IF(R164="非均质砂岩",2,IF(R164="均质砂岩",3,IF(R164="黑色页岩",4,IF(R164="凝灰岩",5,""))))))</f>
        <v>0</v>
      </c>
    </row>
    <row r="165" spans="1:19" x14ac:dyDescent="0.2">
      <c r="A165" t="s">
        <v>30</v>
      </c>
      <c r="B165">
        <v>1305.8717999999999</v>
      </c>
      <c r="C165">
        <v>1306.6509000000001</v>
      </c>
      <c r="D165">
        <v>62.794398719999997</v>
      </c>
      <c r="E165">
        <v>3.5745928629999999</v>
      </c>
      <c r="F165">
        <v>234.02377319999999</v>
      </c>
      <c r="G165">
        <v>16.17922115</v>
      </c>
      <c r="H165">
        <v>17.77954592</v>
      </c>
      <c r="I165">
        <v>16.968974110000001</v>
      </c>
      <c r="J165">
        <v>17.481811109999999</v>
      </c>
      <c r="K165">
        <v>17.1927542</v>
      </c>
      <c r="L165">
        <v>289.16377039999998</v>
      </c>
      <c r="M165">
        <v>32.2300009</v>
      </c>
      <c r="N165">
        <v>2.497070006</v>
      </c>
      <c r="O165">
        <v>-0.202123103</v>
      </c>
      <c r="P165">
        <v>0.92011886799999998</v>
      </c>
      <c r="Q165" t="s">
        <v>19</v>
      </c>
      <c r="R165" t="s">
        <v>20</v>
      </c>
      <c r="S165">
        <f>IF(R165="粉砂质泥岩",0,IF(R165="暗色泥岩",1,IF(R165="非均质砂岩",2,IF(R165="均质砂岩",3,IF(R165="黑色页岩",4,IF(R165="凝灰岩",5,""))))))</f>
        <v>1</v>
      </c>
    </row>
    <row r="166" spans="1:19" x14ac:dyDescent="0.2">
      <c r="A166" t="s">
        <v>30</v>
      </c>
      <c r="B166">
        <v>1306.6509000000001</v>
      </c>
      <c r="C166">
        <v>1309.9952000000001</v>
      </c>
      <c r="D166">
        <v>63.496248520000002</v>
      </c>
      <c r="E166">
        <v>2.9207546290000002</v>
      </c>
      <c r="F166">
        <v>105.7210451</v>
      </c>
      <c r="G166">
        <v>33.396674769999997</v>
      </c>
      <c r="H166">
        <v>37.100621500000003</v>
      </c>
      <c r="I166">
        <v>32.413234099999997</v>
      </c>
      <c r="J166">
        <v>31.463510450000001</v>
      </c>
      <c r="K166">
        <v>31.03202302</v>
      </c>
      <c r="L166">
        <v>232.1654015</v>
      </c>
      <c r="M166">
        <v>17.72178568</v>
      </c>
      <c r="N166">
        <v>2.5463171600000001</v>
      </c>
      <c r="O166">
        <v>-3.4480107000000003E-2</v>
      </c>
      <c r="P166">
        <v>0.27860522599999998</v>
      </c>
      <c r="Q166" t="s">
        <v>19</v>
      </c>
      <c r="R166" t="s">
        <v>21</v>
      </c>
      <c r="S166">
        <f>IF(R166="粉砂质泥岩",0,IF(R166="暗色泥岩",1,IF(R166="非均质砂岩",2,IF(R166="均质砂岩",3,IF(R166="黑色页岩",4,IF(R166="凝灰岩",5,""))))))</f>
        <v>2</v>
      </c>
    </row>
    <row r="167" spans="1:19" x14ac:dyDescent="0.2">
      <c r="A167" t="s">
        <v>30</v>
      </c>
      <c r="B167">
        <v>1310.0374999999999</v>
      </c>
      <c r="C167">
        <v>1312.8738000000001</v>
      </c>
      <c r="D167">
        <v>68.349976859999998</v>
      </c>
      <c r="E167">
        <v>3.1961808199999999</v>
      </c>
      <c r="F167">
        <v>123.9813255</v>
      </c>
      <c r="G167">
        <v>29.97200672</v>
      </c>
      <c r="H167">
        <v>31.697731019999999</v>
      </c>
      <c r="I167">
        <v>27.900387290000001</v>
      </c>
      <c r="J167">
        <v>26.499645390000001</v>
      </c>
      <c r="K167">
        <v>26.056189929999999</v>
      </c>
      <c r="L167">
        <v>225.29305590000001</v>
      </c>
      <c r="M167">
        <v>19.546208419999999</v>
      </c>
      <c r="N167">
        <v>2.6199754579999999</v>
      </c>
      <c r="O167">
        <v>-4.390405E-2</v>
      </c>
      <c r="P167">
        <v>0.36990662499999999</v>
      </c>
      <c r="Q167" t="s">
        <v>19</v>
      </c>
      <c r="R167" t="s">
        <v>22</v>
      </c>
      <c r="S167">
        <f>IF(R167="粉砂质泥岩",0,IF(R167="暗色泥岩",1,IF(R167="非均质砂岩",2,IF(R167="均质砂岩",3,IF(R167="黑色页岩",4,IF(R167="凝灰岩",5,""))))))</f>
        <v>0</v>
      </c>
    </row>
    <row r="168" spans="1:19" x14ac:dyDescent="0.2">
      <c r="A168" t="s">
        <v>30</v>
      </c>
      <c r="B168">
        <v>1312.8738000000001</v>
      </c>
      <c r="C168">
        <v>1318.5463999999999</v>
      </c>
      <c r="D168">
        <v>61.169446200000003</v>
      </c>
      <c r="E168">
        <v>2.8569473959999998</v>
      </c>
      <c r="F168">
        <v>100.0989831</v>
      </c>
      <c r="G168">
        <v>43.63768752</v>
      </c>
      <c r="H168">
        <v>44.225562969999999</v>
      </c>
      <c r="I168">
        <v>38.0693774</v>
      </c>
      <c r="J168">
        <v>36.129196039999997</v>
      </c>
      <c r="K168">
        <v>35.57034144</v>
      </c>
      <c r="L168">
        <v>224.76519540000001</v>
      </c>
      <c r="M168">
        <v>16.928695869999999</v>
      </c>
      <c r="N168">
        <v>2.5502493799999999</v>
      </c>
      <c r="O168">
        <v>-1.4992841E-2</v>
      </c>
      <c r="P168">
        <v>0.25049491499999998</v>
      </c>
      <c r="Q168" t="s">
        <v>19</v>
      </c>
      <c r="R168" t="s">
        <v>21</v>
      </c>
      <c r="S168">
        <f>IF(R168="粉砂质泥岩",0,IF(R168="暗色泥岩",1,IF(R168="非均质砂岩",2,IF(R168="均质砂岩",3,IF(R168="黑色页岩",4,IF(R168="凝灰岩",5,""))))))</f>
        <v>2</v>
      </c>
    </row>
    <row r="169" spans="1:19" x14ac:dyDescent="0.2">
      <c r="A169" t="s">
        <v>30</v>
      </c>
      <c r="B169">
        <v>1318.5463999999999</v>
      </c>
      <c r="C169">
        <v>1322.0708999999999</v>
      </c>
      <c r="D169">
        <v>62.16893374</v>
      </c>
      <c r="E169">
        <v>3.145741364</v>
      </c>
      <c r="F169">
        <v>129.53508439999999</v>
      </c>
      <c r="G169">
        <v>41.328969100000002</v>
      </c>
      <c r="H169">
        <v>37.191963059999999</v>
      </c>
      <c r="I169">
        <v>32.049210840000001</v>
      </c>
      <c r="J169">
        <v>30.62603812</v>
      </c>
      <c r="K169">
        <v>30.625045180000001</v>
      </c>
      <c r="L169">
        <v>227.88860930000001</v>
      </c>
      <c r="M169">
        <v>20.165827650000001</v>
      </c>
      <c r="N169">
        <v>2.5984810880000002</v>
      </c>
      <c r="O169">
        <v>-5.9822524000000002E-2</v>
      </c>
      <c r="P169">
        <v>0.397675424</v>
      </c>
      <c r="Q169" t="s">
        <v>19</v>
      </c>
      <c r="R169" t="s">
        <v>22</v>
      </c>
      <c r="S169">
        <f>IF(R169="粉砂质泥岩",0,IF(R169="暗色泥岩",1,IF(R169="非均质砂岩",2,IF(R169="均质砂岩",3,IF(R169="黑色页岩",4,IF(R169="凝灰岩",5,""))))))</f>
        <v>0</v>
      </c>
    </row>
    <row r="170" spans="1:19" x14ac:dyDescent="0.2">
      <c r="A170" t="s">
        <v>30</v>
      </c>
      <c r="B170">
        <v>1322.0708999999999</v>
      </c>
      <c r="C170">
        <v>1323.8171</v>
      </c>
      <c r="D170">
        <v>58.283398439999999</v>
      </c>
      <c r="E170">
        <v>2.9708593529999998</v>
      </c>
      <c r="F170">
        <v>96.828033959999999</v>
      </c>
      <c r="G170">
        <v>28.59732005</v>
      </c>
      <c r="H170">
        <v>28.742992269999998</v>
      </c>
      <c r="I170">
        <v>25.5910759</v>
      </c>
      <c r="J170">
        <v>24.89131012</v>
      </c>
      <c r="K170">
        <v>24.436675390000001</v>
      </c>
      <c r="L170">
        <v>216.78881630000001</v>
      </c>
      <c r="M170">
        <v>14.90933323</v>
      </c>
      <c r="N170">
        <v>2.5702146849999998</v>
      </c>
      <c r="O170">
        <v>-1.9027142E-2</v>
      </c>
      <c r="P170">
        <v>0.23414016900000001</v>
      </c>
      <c r="Q170" t="s">
        <v>19</v>
      </c>
      <c r="R170" t="s">
        <v>21</v>
      </c>
      <c r="S170">
        <f>IF(R170="粉砂质泥岩",0,IF(R170="暗色泥岩",1,IF(R170="非均质砂岩",2,IF(R170="均质砂岩",3,IF(R170="黑色页岩",4,IF(R170="凝灰岩",5,""))))))</f>
        <v>2</v>
      </c>
    </row>
    <row r="171" spans="1:19" x14ac:dyDescent="0.2">
      <c r="A171" t="s">
        <v>30</v>
      </c>
      <c r="B171">
        <v>1323.8171</v>
      </c>
      <c r="C171">
        <v>1327.4084</v>
      </c>
      <c r="D171">
        <v>66.844374590000001</v>
      </c>
      <c r="E171">
        <v>3.1883683359999999</v>
      </c>
      <c r="F171">
        <v>139.65090050000001</v>
      </c>
      <c r="G171">
        <v>22.347205639999999</v>
      </c>
      <c r="H171">
        <v>23.076290319999998</v>
      </c>
      <c r="I171">
        <v>20.266426630000002</v>
      </c>
      <c r="J171">
        <v>19.37293412</v>
      </c>
      <c r="K171">
        <v>18.731058059999999</v>
      </c>
      <c r="L171">
        <v>227.99170330000001</v>
      </c>
      <c r="M171">
        <v>19.567300159999998</v>
      </c>
      <c r="N171">
        <v>2.6224100269999999</v>
      </c>
      <c r="O171">
        <v>-8.8117849999999998E-2</v>
      </c>
      <c r="P171">
        <v>0.448254498</v>
      </c>
      <c r="Q171" t="s">
        <v>19</v>
      </c>
      <c r="R171" t="s">
        <v>22</v>
      </c>
      <c r="S171">
        <f>IF(R171="粉砂质泥岩",0,IF(R171="暗色泥岩",1,IF(R171="非均质砂岩",2,IF(R171="均质砂岩",3,IF(R171="黑色页岩",4,IF(R171="凝灰岩",5,""))))))</f>
        <v>0</v>
      </c>
    </row>
    <row r="172" spans="1:19" x14ac:dyDescent="0.2">
      <c r="A172" t="s">
        <v>30</v>
      </c>
      <c r="B172">
        <v>1327.4084</v>
      </c>
      <c r="C172">
        <v>1328.3610000000001</v>
      </c>
      <c r="D172">
        <v>67.021477590000003</v>
      </c>
      <c r="E172">
        <v>3.1220500470000001</v>
      </c>
      <c r="F172">
        <v>110.7221764</v>
      </c>
      <c r="G172">
        <v>25.829704499999998</v>
      </c>
      <c r="H172">
        <v>27.211107890000001</v>
      </c>
      <c r="I172">
        <v>23.840806749999999</v>
      </c>
      <c r="J172">
        <v>22.900916420000001</v>
      </c>
      <c r="K172">
        <v>21.549659089999999</v>
      </c>
      <c r="L172">
        <v>209.03412879999999</v>
      </c>
      <c r="M172">
        <v>14.0014445</v>
      </c>
      <c r="N172">
        <v>2.630515602</v>
      </c>
      <c r="O172">
        <v>-3.5121369E-2</v>
      </c>
      <c r="P172">
        <v>0.303610881</v>
      </c>
      <c r="Q172" t="s">
        <v>19</v>
      </c>
      <c r="R172" t="s">
        <v>21</v>
      </c>
      <c r="S172">
        <f>IF(R172="粉砂质泥岩",0,IF(R172="暗色泥岩",1,IF(R172="非均质砂岩",2,IF(R172="均质砂岩",3,IF(R172="黑色页岩",4,IF(R172="凝灰岩",5,""))))))</f>
        <v>2</v>
      </c>
    </row>
    <row r="173" spans="1:19" x14ac:dyDescent="0.2">
      <c r="A173" t="s">
        <v>30</v>
      </c>
      <c r="B173">
        <v>1328.3610000000001</v>
      </c>
      <c r="C173">
        <v>1330.0542</v>
      </c>
      <c r="D173">
        <v>67.527178960000001</v>
      </c>
      <c r="E173">
        <v>3.0728439810000001</v>
      </c>
      <c r="F173">
        <v>149.52845310000001</v>
      </c>
      <c r="G173">
        <v>18.97974542</v>
      </c>
      <c r="H173">
        <v>18.780798470000001</v>
      </c>
      <c r="I173">
        <v>16.809610559999999</v>
      </c>
      <c r="J173">
        <v>15.987511319999999</v>
      </c>
      <c r="K173">
        <v>15.450443269999999</v>
      </c>
      <c r="L173">
        <v>226.83472699999999</v>
      </c>
      <c r="M173">
        <v>20.337600139999999</v>
      </c>
      <c r="N173">
        <v>2.6449720220000001</v>
      </c>
      <c r="O173">
        <v>-0.105148939</v>
      </c>
      <c r="P173">
        <v>0.49764226099999997</v>
      </c>
      <c r="Q173" t="s">
        <v>19</v>
      </c>
      <c r="R173" t="s">
        <v>22</v>
      </c>
      <c r="S173">
        <f>IF(R173="粉砂质泥岩",0,IF(R173="暗色泥岩",1,IF(R173="非均质砂岩",2,IF(R173="均质砂岩",3,IF(R173="黑色页岩",4,IF(R173="凝灰岩",5,""))))))</f>
        <v>0</v>
      </c>
    </row>
    <row r="174" spans="1:19" x14ac:dyDescent="0.2">
      <c r="A174" t="s">
        <v>30</v>
      </c>
      <c r="B174">
        <v>1330.0542</v>
      </c>
      <c r="C174">
        <v>1331.6416999999999</v>
      </c>
      <c r="D174">
        <v>66.863736829999993</v>
      </c>
      <c r="E174">
        <v>3.0465278800000002</v>
      </c>
      <c r="F174">
        <v>119.802633</v>
      </c>
      <c r="G174">
        <v>25.38473497</v>
      </c>
      <c r="H174">
        <v>22.6518759</v>
      </c>
      <c r="I174">
        <v>21.060547150000001</v>
      </c>
      <c r="J174">
        <v>19.029538840000001</v>
      </c>
      <c r="K174">
        <v>19.250543459999999</v>
      </c>
      <c r="L174">
        <v>212.3927612</v>
      </c>
      <c r="M174">
        <v>15.29221398</v>
      </c>
      <c r="N174">
        <v>2.6169293439999999</v>
      </c>
      <c r="O174">
        <v>-4.9200503E-2</v>
      </c>
      <c r="P174">
        <v>0.34901316500000001</v>
      </c>
      <c r="Q174" t="s">
        <v>19</v>
      </c>
      <c r="R174" t="s">
        <v>22</v>
      </c>
      <c r="S174">
        <f>IF(R174="粉砂质泥岩",0,IF(R174="暗色泥岩",1,IF(R174="非均质砂岩",2,IF(R174="均质砂岩",3,IF(R174="黑色页岩",4,IF(R174="凝灰岩",5,""))))))</f>
        <v>0</v>
      </c>
    </row>
    <row r="175" spans="1:19" x14ac:dyDescent="0.2">
      <c r="A175" t="s">
        <v>30</v>
      </c>
      <c r="B175">
        <v>1331.6416999999999</v>
      </c>
      <c r="C175">
        <v>1332.6470999999999</v>
      </c>
      <c r="D175">
        <v>65.611368819999996</v>
      </c>
      <c r="E175">
        <v>2.5646477810000001</v>
      </c>
      <c r="F175">
        <v>171.70963029999999</v>
      </c>
      <c r="G175">
        <v>14.468220820000001</v>
      </c>
      <c r="H175">
        <v>12.83063677</v>
      </c>
      <c r="I175">
        <v>13.563796890000001</v>
      </c>
      <c r="J175">
        <v>14.388468850000001</v>
      </c>
      <c r="K175">
        <v>12.73254893</v>
      </c>
      <c r="L175">
        <v>247.69052970000001</v>
      </c>
      <c r="M175">
        <v>24.271111380000001</v>
      </c>
      <c r="N175">
        <v>2.1731178359999999</v>
      </c>
      <c r="O175">
        <v>-0.144190454</v>
      </c>
      <c r="P175">
        <v>0.60854815399999995</v>
      </c>
      <c r="Q175" t="s">
        <v>19</v>
      </c>
      <c r="R175" t="s">
        <v>24</v>
      </c>
      <c r="S175">
        <f>IF(R175="粉砂质泥岩",0,IF(R175="暗色泥岩",1,IF(R175="非均质砂岩",2,IF(R175="均质砂岩",3,IF(R175="黑色页岩",4,IF(R175="凝灰岩",5,""))))))</f>
        <v>5</v>
      </c>
    </row>
    <row r="176" spans="1:19" x14ac:dyDescent="0.2">
      <c r="A176" t="s">
        <v>30</v>
      </c>
      <c r="B176">
        <v>1332.6470999999999</v>
      </c>
      <c r="C176">
        <v>1343.7068999999999</v>
      </c>
      <c r="D176">
        <v>57.22945035</v>
      </c>
      <c r="E176">
        <v>2.8916164110000002</v>
      </c>
      <c r="F176">
        <v>103.2407518</v>
      </c>
      <c r="G176">
        <v>39.857124730000002</v>
      </c>
      <c r="H176">
        <v>32.290026269999998</v>
      </c>
      <c r="I176">
        <v>28.116717130000001</v>
      </c>
      <c r="J176">
        <v>26.75607488</v>
      </c>
      <c r="K176">
        <v>26.842250369999999</v>
      </c>
      <c r="L176">
        <v>224.61306709999999</v>
      </c>
      <c r="M176">
        <v>16.05332572</v>
      </c>
      <c r="N176">
        <v>2.5519796889999999</v>
      </c>
      <c r="O176">
        <v>-2.9832470999999999E-2</v>
      </c>
      <c r="P176">
        <v>0.26620375899999998</v>
      </c>
      <c r="Q176" t="s">
        <v>19</v>
      </c>
      <c r="R176" t="s">
        <v>21</v>
      </c>
      <c r="S176">
        <f>IF(R176="粉砂质泥岩",0,IF(R176="暗色泥岩",1,IF(R176="非均质砂岩",2,IF(R176="均质砂岩",3,IF(R176="黑色页岩",4,IF(R176="凝灰岩",5,""))))))</f>
        <v>2</v>
      </c>
    </row>
    <row r="177" spans="1:19" x14ac:dyDescent="0.2">
      <c r="A177" t="s">
        <v>30</v>
      </c>
      <c r="B177">
        <v>1343.7593999999999</v>
      </c>
      <c r="C177">
        <v>1351.0617999999999</v>
      </c>
      <c r="D177">
        <v>66.677259019999994</v>
      </c>
      <c r="E177">
        <v>2.9441633949999999</v>
      </c>
      <c r="F177">
        <v>137.19526279999999</v>
      </c>
      <c r="G177">
        <v>24.319036650000001</v>
      </c>
      <c r="H177">
        <v>25.15979638</v>
      </c>
      <c r="I177">
        <v>22.36549162</v>
      </c>
      <c r="J177">
        <v>21.622362410000001</v>
      </c>
      <c r="K177">
        <v>21.395780370000001</v>
      </c>
      <c r="L177">
        <v>227.22329999999999</v>
      </c>
      <c r="M177">
        <v>18.995220310000001</v>
      </c>
      <c r="N177">
        <v>2.573187501</v>
      </c>
      <c r="O177">
        <v>-8.7709492999999999E-2</v>
      </c>
      <c r="P177">
        <v>0.435976313</v>
      </c>
      <c r="Q177" t="s">
        <v>19</v>
      </c>
      <c r="R177" t="s">
        <v>22</v>
      </c>
      <c r="S177">
        <f>IF(R177="粉砂质泥岩",0,IF(R177="暗色泥岩",1,IF(R177="非均质砂岩",2,IF(R177="均质砂岩",3,IF(R177="黑色页岩",4,IF(R177="凝灰岩",5,""))))))</f>
        <v>0</v>
      </c>
    </row>
    <row r="178" spans="1:19" x14ac:dyDescent="0.2">
      <c r="A178" t="s">
        <v>30</v>
      </c>
      <c r="B178">
        <v>1351.0617999999999</v>
      </c>
      <c r="C178">
        <v>1354.1309000000001</v>
      </c>
      <c r="D178">
        <v>66.33024245</v>
      </c>
      <c r="E178">
        <v>3.2271234620000002</v>
      </c>
      <c r="F178">
        <v>116.72671769999999</v>
      </c>
      <c r="G178">
        <v>34.634429419999996</v>
      </c>
      <c r="H178">
        <v>35.938098910000001</v>
      </c>
      <c r="I178">
        <v>31.32856941</v>
      </c>
      <c r="J178">
        <v>29.85666084</v>
      </c>
      <c r="K178">
        <v>29.376737009999999</v>
      </c>
      <c r="L178">
        <v>217.7250525</v>
      </c>
      <c r="M178">
        <v>16.542807839999998</v>
      </c>
      <c r="N178">
        <v>2.6081835029999998</v>
      </c>
      <c r="O178">
        <v>-4.4767247000000003E-2</v>
      </c>
      <c r="P178">
        <v>0.33363358900000001</v>
      </c>
      <c r="Q178" t="s">
        <v>19</v>
      </c>
      <c r="R178" t="s">
        <v>22</v>
      </c>
      <c r="S178">
        <f>IF(R178="粉砂质泥岩",0,IF(R178="暗色泥岩",1,IF(R178="非均质砂岩",2,IF(R178="均质砂岩",3,IF(R178="黑色页岩",4,IF(R178="凝灰岩",5,""))))))</f>
        <v>0</v>
      </c>
    </row>
    <row r="179" spans="1:19" x14ac:dyDescent="0.2">
      <c r="A179" t="s">
        <v>30</v>
      </c>
      <c r="B179">
        <v>1354.1309000000001</v>
      </c>
      <c r="C179">
        <v>1363.4436000000001</v>
      </c>
      <c r="D179">
        <v>66.264297889999995</v>
      </c>
      <c r="E179">
        <v>3.198371313</v>
      </c>
      <c r="F179">
        <v>132.2027559</v>
      </c>
      <c r="G179">
        <v>28.118215710000001</v>
      </c>
      <c r="H179">
        <v>26.719310409999999</v>
      </c>
      <c r="I179">
        <v>23.65743625</v>
      </c>
      <c r="J179">
        <v>22.728865519999999</v>
      </c>
      <c r="K179">
        <v>22.25954041</v>
      </c>
      <c r="L179">
        <v>228.22595380000001</v>
      </c>
      <c r="M179">
        <v>19.707947369999999</v>
      </c>
      <c r="N179">
        <v>2.609449503</v>
      </c>
      <c r="O179">
        <v>-6.9657203000000001E-2</v>
      </c>
      <c r="P179">
        <v>0.41101377900000002</v>
      </c>
      <c r="Q179" t="s">
        <v>19</v>
      </c>
      <c r="R179" t="s">
        <v>22</v>
      </c>
      <c r="S179">
        <f>IF(R179="粉砂质泥岩",0,IF(R179="暗色泥岩",1,IF(R179="非均质砂岩",2,IF(R179="均质砂岩",3,IF(R179="黑色页岩",4,IF(R179="凝灰岩",5,""))))))</f>
        <v>0</v>
      </c>
    </row>
    <row r="180" spans="1:19" x14ac:dyDescent="0.2">
      <c r="A180" t="s">
        <v>30</v>
      </c>
      <c r="B180">
        <v>1363.4436000000001</v>
      </c>
      <c r="C180">
        <v>1366.3014000000001</v>
      </c>
      <c r="D180">
        <v>67.745103200000003</v>
      </c>
      <c r="E180">
        <v>2.7170954350000001</v>
      </c>
      <c r="F180">
        <v>171.17484469999999</v>
      </c>
      <c r="G180">
        <v>21.29320272</v>
      </c>
      <c r="H180">
        <v>23.656897780000001</v>
      </c>
      <c r="I180">
        <v>21.408704759999999</v>
      </c>
      <c r="J180">
        <v>20.71225007</v>
      </c>
      <c r="K180">
        <v>20.568095920000001</v>
      </c>
      <c r="L180">
        <v>243.55391119999999</v>
      </c>
      <c r="M180">
        <v>22.72766678</v>
      </c>
      <c r="N180">
        <v>2.5006437699999999</v>
      </c>
      <c r="O180">
        <v>-1.39639E-3</v>
      </c>
      <c r="P180">
        <v>0.60587422199999996</v>
      </c>
      <c r="Q180" t="s">
        <v>19</v>
      </c>
      <c r="R180" t="s">
        <v>21</v>
      </c>
      <c r="S180">
        <f>IF(R180="粉砂质泥岩",0,IF(R180="暗色泥岩",1,IF(R180="非均质砂岩",2,IF(R180="均质砂岩",3,IF(R180="黑色页岩",4,IF(R180="凝灰岩",5,""))))))</f>
        <v>2</v>
      </c>
    </row>
    <row r="181" spans="1:19" x14ac:dyDescent="0.2">
      <c r="A181" t="s">
        <v>30</v>
      </c>
      <c r="B181">
        <v>1366.3014000000001</v>
      </c>
      <c r="C181">
        <v>1366.8834999999999</v>
      </c>
      <c r="D181">
        <v>66.773279830000007</v>
      </c>
      <c r="E181">
        <v>3.4979950190000002</v>
      </c>
      <c r="F181">
        <v>211.39102170000001</v>
      </c>
      <c r="G181">
        <v>23.342326799999999</v>
      </c>
      <c r="H181">
        <v>22.685951549999999</v>
      </c>
      <c r="I181">
        <v>20.24652322</v>
      </c>
      <c r="J181">
        <v>19.285789489999999</v>
      </c>
      <c r="K181">
        <v>18.896763480000001</v>
      </c>
      <c r="L181">
        <v>268.67264299999999</v>
      </c>
      <c r="M181">
        <v>30.50483513</v>
      </c>
      <c r="N181">
        <v>2.5429733589999999</v>
      </c>
      <c r="O181">
        <v>-0.13850739300000001</v>
      </c>
      <c r="P181">
        <v>0.80695509899999995</v>
      </c>
      <c r="Q181" t="s">
        <v>19</v>
      </c>
      <c r="R181" t="s">
        <v>20</v>
      </c>
      <c r="S181">
        <f>IF(R181="粉砂质泥岩",0,IF(R181="暗色泥岩",1,IF(R181="非均质砂岩",2,IF(R181="均质砂岩",3,IF(R181="黑色页岩",4,IF(R181="凝灰岩",5,""))))))</f>
        <v>1</v>
      </c>
    </row>
    <row r="182" spans="1:19" x14ac:dyDescent="0.2">
      <c r="A182" t="s">
        <v>30</v>
      </c>
      <c r="B182">
        <v>1366.8834999999999</v>
      </c>
      <c r="C182">
        <v>1367.9947999999999</v>
      </c>
      <c r="D182">
        <v>68.211038209999998</v>
      </c>
      <c r="E182">
        <v>2.9596339939999998</v>
      </c>
      <c r="F182">
        <v>186.18945919999999</v>
      </c>
      <c r="G182">
        <v>26.392845340000001</v>
      </c>
      <c r="H182">
        <v>24.75017605</v>
      </c>
      <c r="I182">
        <v>22.76554089</v>
      </c>
      <c r="J182">
        <v>22.581862260000001</v>
      </c>
      <c r="K182">
        <v>22.63079128</v>
      </c>
      <c r="L182">
        <v>250.55582889999999</v>
      </c>
      <c r="M182">
        <v>24.000000379999999</v>
      </c>
      <c r="N182">
        <v>2.5441830400000001</v>
      </c>
      <c r="O182">
        <v>1.4020790000000001E-3</v>
      </c>
      <c r="P182">
        <v>0.68094729200000004</v>
      </c>
      <c r="Q182" t="s">
        <v>19</v>
      </c>
      <c r="R182" t="s">
        <v>21</v>
      </c>
      <c r="S182">
        <f>IF(R182="粉砂质泥岩",0,IF(R182="暗色泥岩",1,IF(R182="非均质砂岩",2,IF(R182="均质砂岩",3,IF(R182="黑色页岩",4,IF(R182="凝灰岩",5,""))))))</f>
        <v>2</v>
      </c>
    </row>
    <row r="183" spans="1:19" x14ac:dyDescent="0.2">
      <c r="A183" t="s">
        <v>30</v>
      </c>
      <c r="B183">
        <v>1367.9947999999999</v>
      </c>
      <c r="C183">
        <v>1369.106</v>
      </c>
      <c r="D183">
        <v>68.815820310000007</v>
      </c>
      <c r="E183">
        <v>3.4669240000000001</v>
      </c>
      <c r="F183">
        <v>169.37167210000001</v>
      </c>
      <c r="G183">
        <v>51.309442519999998</v>
      </c>
      <c r="H183">
        <v>46.261455150000003</v>
      </c>
      <c r="I183">
        <v>38.542142869999999</v>
      </c>
      <c r="J183">
        <v>38.026948930000003</v>
      </c>
      <c r="K183">
        <v>36.346655079999998</v>
      </c>
      <c r="L183">
        <v>240.24640500000001</v>
      </c>
      <c r="M183">
        <v>24.307199860000001</v>
      </c>
      <c r="N183">
        <v>2.5759900330000001</v>
      </c>
      <c r="O183">
        <v>-0.135778815</v>
      </c>
      <c r="P183">
        <v>0.59685835200000004</v>
      </c>
      <c r="Q183" t="s">
        <v>19</v>
      </c>
      <c r="R183" t="s">
        <v>20</v>
      </c>
      <c r="S183">
        <f>IF(R183="粉砂质泥岩",0,IF(R183="暗色泥岩",1,IF(R183="非均质砂岩",2,IF(R183="均质砂岩",3,IF(R183="黑色页岩",4,IF(R183="凝灰岩",5,""))))))</f>
        <v>1</v>
      </c>
    </row>
    <row r="184" spans="1:19" x14ac:dyDescent="0.2">
      <c r="A184" t="s">
        <v>30</v>
      </c>
      <c r="B184">
        <v>1369.106</v>
      </c>
      <c r="C184">
        <v>1370.5868</v>
      </c>
      <c r="D184">
        <v>68.899479790000001</v>
      </c>
      <c r="E184">
        <v>2.8936045899999998</v>
      </c>
      <c r="F184">
        <v>173.42787759999999</v>
      </c>
      <c r="G184">
        <v>41.841888130000001</v>
      </c>
      <c r="H184">
        <v>36.551929620000003</v>
      </c>
      <c r="I184">
        <v>31.659981510000001</v>
      </c>
      <c r="J184">
        <v>31.284176460000001</v>
      </c>
      <c r="K184">
        <v>30.307529299999999</v>
      </c>
      <c r="L184">
        <v>242.807413</v>
      </c>
      <c r="M184">
        <v>21.864999919999999</v>
      </c>
      <c r="N184">
        <v>2.5366492639999998</v>
      </c>
      <c r="O184">
        <v>-9.4370070000000007E-3</v>
      </c>
      <c r="P184">
        <v>0.61713938800000001</v>
      </c>
      <c r="Q184" t="s">
        <v>19</v>
      </c>
      <c r="R184" t="s">
        <v>21</v>
      </c>
      <c r="S184">
        <f>IF(R184="粉砂质泥岩",0,IF(R184="暗色泥岩",1,IF(R184="非均质砂岩",2,IF(R184="均质砂岩",3,IF(R184="黑色页岩",4,IF(R184="凝灰岩",5,""))))))</f>
        <v>2</v>
      </c>
    </row>
    <row r="185" spans="1:19" x14ac:dyDescent="0.2">
      <c r="A185" t="s">
        <v>30</v>
      </c>
      <c r="B185">
        <v>1370.5868</v>
      </c>
      <c r="C185">
        <v>1373.7095999999999</v>
      </c>
      <c r="D185">
        <v>69.444776090000005</v>
      </c>
      <c r="E185">
        <v>3.2628746309999999</v>
      </c>
      <c r="F185">
        <v>154.53602100000001</v>
      </c>
      <c r="G185">
        <v>31.528973619999999</v>
      </c>
      <c r="H185">
        <v>27.000983829999999</v>
      </c>
      <c r="I185">
        <v>23.637499040000002</v>
      </c>
      <c r="J185">
        <v>23.04169083</v>
      </c>
      <c r="K185">
        <v>22.443385930000002</v>
      </c>
      <c r="L185">
        <v>235.3450464</v>
      </c>
      <c r="M185">
        <v>22.173192390000001</v>
      </c>
      <c r="N185">
        <v>2.5959238729999998</v>
      </c>
      <c r="O185">
        <v>-9.9864586000000005E-2</v>
      </c>
      <c r="P185">
        <v>0.52268010300000001</v>
      </c>
      <c r="Q185" t="s">
        <v>19</v>
      </c>
      <c r="R185" t="s">
        <v>20</v>
      </c>
      <c r="S185">
        <f>IF(R185="粉砂质泥岩",0,IF(R185="暗色泥岩",1,IF(R185="非均质砂岩",2,IF(R185="均质砂岩",3,IF(R185="黑色页岩",4,IF(R185="凝灰岩",5,""))))))</f>
        <v>1</v>
      </c>
    </row>
    <row r="186" spans="1:19" x14ac:dyDescent="0.2">
      <c r="A186" t="s">
        <v>30</v>
      </c>
      <c r="B186">
        <v>1373.7095999999999</v>
      </c>
      <c r="C186">
        <v>1376.1967</v>
      </c>
      <c r="D186">
        <v>68.031037830000002</v>
      </c>
      <c r="E186">
        <v>2.5558766409999998</v>
      </c>
      <c r="F186">
        <v>224.89137199999999</v>
      </c>
      <c r="G186">
        <v>31.524388089999999</v>
      </c>
      <c r="H186">
        <v>35.833623799999998</v>
      </c>
      <c r="I186">
        <v>31.810238699999999</v>
      </c>
      <c r="J186">
        <v>32.669147129999999</v>
      </c>
      <c r="K186">
        <v>32.636166070000002</v>
      </c>
      <c r="L186">
        <v>244.03383890000001</v>
      </c>
      <c r="M186">
        <v>23.092047650000001</v>
      </c>
      <c r="N186">
        <v>2.4788500240000002</v>
      </c>
      <c r="O186">
        <v>-4.1318430000000003E-2</v>
      </c>
      <c r="P186">
        <v>0.87445686300000003</v>
      </c>
      <c r="Q186" t="s">
        <v>19</v>
      </c>
      <c r="R186" t="s">
        <v>21</v>
      </c>
      <c r="S186">
        <f>IF(R186="粉砂质泥岩",0,IF(R186="暗色泥岩",1,IF(R186="非均质砂岩",2,IF(R186="均质砂岩",3,IF(R186="黑色页岩",4,IF(R186="凝灰岩",5,""))))))</f>
        <v>2</v>
      </c>
    </row>
    <row r="187" spans="1:19" x14ac:dyDescent="0.2">
      <c r="A187" t="s">
        <v>30</v>
      </c>
      <c r="B187">
        <v>1376.1967</v>
      </c>
      <c r="C187">
        <v>1378.7896000000001</v>
      </c>
      <c r="D187">
        <v>65.736545910000004</v>
      </c>
      <c r="E187">
        <v>3.4162500119999999</v>
      </c>
      <c r="F187">
        <v>145.70765549999999</v>
      </c>
      <c r="G187">
        <v>41.688670070000001</v>
      </c>
      <c r="H187">
        <v>38.330421790000003</v>
      </c>
      <c r="I187">
        <v>33.465674309999997</v>
      </c>
      <c r="J187">
        <v>32.218162020000001</v>
      </c>
      <c r="K187">
        <v>31.707535830000001</v>
      </c>
      <c r="L187">
        <v>243.8978008</v>
      </c>
      <c r="M187">
        <v>25.925136309999999</v>
      </c>
      <c r="N187">
        <v>2.6205472950000002</v>
      </c>
      <c r="O187">
        <v>-8.0208167999999996E-2</v>
      </c>
      <c r="P187">
        <v>0.47853827599999998</v>
      </c>
      <c r="Q187" t="s">
        <v>19</v>
      </c>
      <c r="R187" t="s">
        <v>22</v>
      </c>
      <c r="S187">
        <f>IF(R187="粉砂质泥岩",0,IF(R187="暗色泥岩",1,IF(R187="非均质砂岩",2,IF(R187="均质砂岩",3,IF(R187="黑色页岩",4,IF(R187="凝灰岩",5,""))))))</f>
        <v>0</v>
      </c>
    </row>
    <row r="188" spans="1:19" x14ac:dyDescent="0.2">
      <c r="A188" t="s">
        <v>30</v>
      </c>
      <c r="B188">
        <v>1378.7896000000001</v>
      </c>
      <c r="C188">
        <v>1383.4457</v>
      </c>
      <c r="D188">
        <v>60.245845590000002</v>
      </c>
      <c r="E188">
        <v>3.5471676150000002</v>
      </c>
      <c r="F188">
        <v>192.28372920000001</v>
      </c>
      <c r="G188">
        <v>102.32197530000001</v>
      </c>
      <c r="H188">
        <v>68.071779649999996</v>
      </c>
      <c r="I188">
        <v>52.848081989999997</v>
      </c>
      <c r="J188">
        <v>50.660457260000001</v>
      </c>
      <c r="K188">
        <v>49.196243240000001</v>
      </c>
      <c r="L188">
        <v>275.5998045</v>
      </c>
      <c r="M188">
        <v>34.0995001</v>
      </c>
      <c r="N188">
        <v>2.5126676560000001</v>
      </c>
      <c r="O188">
        <v>-0.12919502799999999</v>
      </c>
      <c r="P188">
        <v>0.71141864799999999</v>
      </c>
      <c r="Q188" t="s">
        <v>19</v>
      </c>
      <c r="R188" t="s">
        <v>20</v>
      </c>
      <c r="S188">
        <f>IF(R188="粉砂质泥岩",0,IF(R188="暗色泥岩",1,IF(R188="非均质砂岩",2,IF(R188="均质砂岩",3,IF(R188="黑色页岩",4,IF(R188="凝灰岩",5,""))))))</f>
        <v>1</v>
      </c>
    </row>
    <row r="189" spans="1:19" x14ac:dyDescent="0.2">
      <c r="A189" t="s">
        <v>30</v>
      </c>
      <c r="B189">
        <v>1383.4457</v>
      </c>
      <c r="C189">
        <v>1387.8893</v>
      </c>
      <c r="D189">
        <v>52.98481709</v>
      </c>
      <c r="E189">
        <v>3.462733353</v>
      </c>
      <c r="F189">
        <v>153.79013040000001</v>
      </c>
      <c r="G189">
        <v>92.874954950000003</v>
      </c>
      <c r="H189">
        <v>58.791272550000002</v>
      </c>
      <c r="I189">
        <v>52.052924490000002</v>
      </c>
      <c r="J189">
        <v>50.066665440000001</v>
      </c>
      <c r="K189">
        <v>49.128330849999998</v>
      </c>
      <c r="L189">
        <v>241.0787205</v>
      </c>
      <c r="M189">
        <v>27.66167579</v>
      </c>
      <c r="N189">
        <v>2.5998762559999999</v>
      </c>
      <c r="O189">
        <v>-5.9198872E-2</v>
      </c>
      <c r="P189">
        <v>0.51895065200000001</v>
      </c>
      <c r="Q189" t="s">
        <v>19</v>
      </c>
      <c r="R189" t="s">
        <v>22</v>
      </c>
      <c r="S189">
        <f>IF(R189="粉砂质泥岩",0,IF(R189="暗色泥岩",1,IF(R189="非均质砂岩",2,IF(R189="均质砂岩",3,IF(R189="黑色页岩",4,IF(R189="凝灰岩",5,""))))))</f>
        <v>0</v>
      </c>
    </row>
    <row r="190" spans="1:19" x14ac:dyDescent="0.2">
      <c r="A190" t="s">
        <v>30</v>
      </c>
      <c r="B190">
        <v>1387.8893</v>
      </c>
      <c r="C190">
        <v>1400.3791000000001</v>
      </c>
      <c r="D190">
        <v>33.549271079999997</v>
      </c>
      <c r="E190">
        <v>3.8509163709999998</v>
      </c>
      <c r="F190">
        <v>408.2182267</v>
      </c>
      <c r="G190">
        <v>551.70347560000005</v>
      </c>
      <c r="H190">
        <v>113.202113</v>
      </c>
      <c r="I190">
        <v>81.700276549999998</v>
      </c>
      <c r="J190">
        <v>85.404437259999995</v>
      </c>
      <c r="K190">
        <v>83.196514960000002</v>
      </c>
      <c r="L190">
        <v>313.38736490000002</v>
      </c>
      <c r="M190">
        <v>41.99052459</v>
      </c>
      <c r="N190">
        <v>2.2718553730000002</v>
      </c>
      <c r="O190">
        <v>-0.16296786199999999</v>
      </c>
      <c r="P190">
        <v>1.791091134</v>
      </c>
      <c r="Q190" t="s">
        <v>19</v>
      </c>
      <c r="R190" t="s">
        <v>25</v>
      </c>
      <c r="S190">
        <f>IF(R190="粉砂质泥岩",0,IF(R190="暗色泥岩",1,IF(R190="非均质砂岩",2,IF(R190="均质砂岩",3,IF(R190="黑色页岩",4,IF(R190="凝灰岩",5,""))))))</f>
        <v>4</v>
      </c>
    </row>
    <row r="191" spans="1:19" x14ac:dyDescent="0.2">
      <c r="A191" t="s">
        <v>30</v>
      </c>
      <c r="B191">
        <v>1400.3791000000001</v>
      </c>
      <c r="C191">
        <v>1401.5949000000001</v>
      </c>
      <c r="D191">
        <v>50.828133319999999</v>
      </c>
      <c r="E191">
        <v>2.900118199</v>
      </c>
      <c r="F191">
        <v>193.14670219999999</v>
      </c>
      <c r="G191">
        <v>100.76340690000001</v>
      </c>
      <c r="H191">
        <v>109.66519169999999</v>
      </c>
      <c r="I191">
        <v>87.969992550000001</v>
      </c>
      <c r="J191">
        <v>99.372461150000007</v>
      </c>
      <c r="K191">
        <v>83.642520559999994</v>
      </c>
      <c r="L191">
        <v>257.08685159999999</v>
      </c>
      <c r="M191">
        <v>28.76345461</v>
      </c>
      <c r="N191">
        <v>2.4271013950000002</v>
      </c>
      <c r="O191">
        <v>-2.9036286000000001E-2</v>
      </c>
      <c r="P191">
        <v>0.71573350599999996</v>
      </c>
      <c r="Q191" t="s">
        <v>19</v>
      </c>
      <c r="R191" t="s">
        <v>21</v>
      </c>
      <c r="S191">
        <f>IF(R191="粉砂质泥岩",0,IF(R191="暗色泥岩",1,IF(R191="非均质砂岩",2,IF(R191="均质砂岩",3,IF(R191="黑色页岩",4,IF(R191="凝灰岩",5,""))))))</f>
        <v>2</v>
      </c>
    </row>
    <row r="192" spans="1:19" x14ac:dyDescent="0.2">
      <c r="A192" t="s">
        <v>30</v>
      </c>
      <c r="B192">
        <v>1401.5949000000001</v>
      </c>
      <c r="C192">
        <v>1402.4956999999999</v>
      </c>
      <c r="D192">
        <v>53.071804049999997</v>
      </c>
      <c r="E192">
        <v>3.2131606339999998</v>
      </c>
      <c r="F192">
        <v>337.58656309999998</v>
      </c>
      <c r="G192">
        <v>104.5045009</v>
      </c>
      <c r="H192">
        <v>84.52128458</v>
      </c>
      <c r="I192">
        <v>95.371745590000003</v>
      </c>
      <c r="J192">
        <v>101.3661628</v>
      </c>
      <c r="K192">
        <v>103.34685899999999</v>
      </c>
      <c r="L192">
        <v>298.23891070000002</v>
      </c>
      <c r="M192">
        <v>33.20737433</v>
      </c>
      <c r="N192">
        <v>2.3482631440000001</v>
      </c>
      <c r="O192">
        <v>-0.20134637999999999</v>
      </c>
      <c r="P192">
        <v>1.437932819</v>
      </c>
      <c r="Q192" t="s">
        <v>19</v>
      </c>
      <c r="R192" t="s">
        <v>20</v>
      </c>
      <c r="S192">
        <f>IF(R192="粉砂质泥岩",0,IF(R192="暗色泥岩",1,IF(R192="非均质砂岩",2,IF(R192="均质砂岩",3,IF(R192="黑色页岩",4,IF(R192="凝灰岩",5,""))))))</f>
        <v>1</v>
      </c>
    </row>
    <row r="193" spans="1:19" x14ac:dyDescent="0.2">
      <c r="A193" t="s">
        <v>30</v>
      </c>
      <c r="B193">
        <v>1402.4956999999999</v>
      </c>
      <c r="C193">
        <v>1404.8239000000001</v>
      </c>
      <c r="D193">
        <v>56.673550419999998</v>
      </c>
      <c r="E193">
        <v>3.187686491</v>
      </c>
      <c r="F193">
        <v>212.40661539999999</v>
      </c>
      <c r="G193">
        <v>554.69036730000005</v>
      </c>
      <c r="H193">
        <v>133.46937449999999</v>
      </c>
      <c r="I193">
        <v>124.59906599999999</v>
      </c>
      <c r="J193">
        <v>139.93459910000001</v>
      </c>
      <c r="K193">
        <v>135.9732841</v>
      </c>
      <c r="L193">
        <v>274.3882729</v>
      </c>
      <c r="M193">
        <v>28.454549979999999</v>
      </c>
      <c r="N193">
        <v>2.3988555310000002</v>
      </c>
      <c r="O193">
        <v>-8.6837437000000003E-2</v>
      </c>
      <c r="P193">
        <v>0.81203307999999996</v>
      </c>
      <c r="Q193" t="s">
        <v>19</v>
      </c>
      <c r="R193" t="s">
        <v>22</v>
      </c>
      <c r="S193">
        <f>IF(R193="粉砂质泥岩",0,IF(R193="暗色泥岩",1,IF(R193="非均质砂岩",2,IF(R193="均质砂岩",3,IF(R193="黑色页岩",4,IF(R193="凝灰岩",5,""))))))</f>
        <v>0</v>
      </c>
    </row>
    <row r="194" spans="1:19" x14ac:dyDescent="0.2">
      <c r="A194" t="s">
        <v>30</v>
      </c>
      <c r="B194">
        <v>1404.8239000000001</v>
      </c>
      <c r="C194">
        <v>1406.7289000000001</v>
      </c>
      <c r="D194">
        <v>62.935682300000003</v>
      </c>
      <c r="E194">
        <v>2.388318151</v>
      </c>
      <c r="F194">
        <v>176.42026419999999</v>
      </c>
      <c r="G194">
        <v>48.224995370000002</v>
      </c>
      <c r="H194">
        <v>31.6105597</v>
      </c>
      <c r="I194">
        <v>27.24777877</v>
      </c>
      <c r="J194">
        <v>26.951144809999999</v>
      </c>
      <c r="K194">
        <v>27.061056730000001</v>
      </c>
      <c r="L194">
        <v>274.964448</v>
      </c>
      <c r="M194">
        <v>27.036312580000001</v>
      </c>
      <c r="N194">
        <v>2.403881878</v>
      </c>
      <c r="O194">
        <v>-3.2219940000000002E-2</v>
      </c>
      <c r="P194">
        <v>0.63210132299999999</v>
      </c>
      <c r="Q194" t="s">
        <v>19</v>
      </c>
      <c r="R194" t="s">
        <v>21</v>
      </c>
      <c r="S194">
        <f>IF(R194="粉砂质泥岩",0,IF(R194="暗色泥岩",1,IF(R194="非均质砂岩",2,IF(R194="均质砂岩",3,IF(R194="黑色页岩",4,IF(R194="凝灰岩",5,""))))))</f>
        <v>2</v>
      </c>
    </row>
    <row r="195" spans="1:19" x14ac:dyDescent="0.2">
      <c r="A195" t="s">
        <v>30</v>
      </c>
      <c r="B195">
        <v>1406.7289000000001</v>
      </c>
      <c r="C195">
        <v>1407.8942999999999</v>
      </c>
      <c r="D195">
        <v>66.499658199999999</v>
      </c>
      <c r="E195">
        <v>3.317846012</v>
      </c>
      <c r="F195">
        <v>159.70121839999999</v>
      </c>
      <c r="G195">
        <v>32.085961529999999</v>
      </c>
      <c r="H195">
        <v>23.054439160000001</v>
      </c>
      <c r="I195">
        <v>20.044977379999999</v>
      </c>
      <c r="J195">
        <v>18.81827908</v>
      </c>
      <c r="K195">
        <v>18.52296991</v>
      </c>
      <c r="L195">
        <v>284.08258360000002</v>
      </c>
      <c r="M195">
        <v>29.580300139999999</v>
      </c>
      <c r="N195">
        <v>2.5129760499999998</v>
      </c>
      <c r="O195">
        <v>-0.19850378799999999</v>
      </c>
      <c r="P195">
        <v>0.54850608700000003</v>
      </c>
      <c r="Q195" t="s">
        <v>19</v>
      </c>
      <c r="R195" t="s">
        <v>20</v>
      </c>
      <c r="S195">
        <f>IF(R195="粉砂质泥岩",0,IF(R195="暗色泥岩",1,IF(R195="非均质砂岩",2,IF(R195="均质砂岩",3,IF(R195="黑色页岩",4,IF(R195="凝灰岩",5,""))))))</f>
        <v>1</v>
      </c>
    </row>
    <row r="196" spans="1:19" x14ac:dyDescent="0.2">
      <c r="A196" t="s">
        <v>31</v>
      </c>
      <c r="B196">
        <v>1271.3456000000001</v>
      </c>
      <c r="C196">
        <v>1277.4838</v>
      </c>
      <c r="D196">
        <v>76.988101200000003</v>
      </c>
      <c r="E196">
        <v>2.8855973910000001</v>
      </c>
      <c r="F196">
        <v>96.936178589999997</v>
      </c>
      <c r="G196">
        <v>31.4327021</v>
      </c>
      <c r="H196">
        <v>33.045096819999998</v>
      </c>
      <c r="I196">
        <v>31.268440510000001</v>
      </c>
      <c r="J196">
        <v>29.940074880000001</v>
      </c>
      <c r="K196">
        <v>30.06264736</v>
      </c>
      <c r="L196">
        <v>233.91981290000001</v>
      </c>
      <c r="M196">
        <v>19.05410015</v>
      </c>
      <c r="N196">
        <v>2.5727845999999999</v>
      </c>
      <c r="O196">
        <v>-8.7277959999999995E-3</v>
      </c>
      <c r="P196">
        <v>0.234680893</v>
      </c>
      <c r="Q196" t="s">
        <v>19</v>
      </c>
      <c r="R196" t="s">
        <v>21</v>
      </c>
      <c r="S196">
        <f>IF(R196="粉砂质泥岩",0,IF(R196="暗色泥岩",1,IF(R196="非均质砂岩",2,IF(R196="均质砂岩",3,IF(R196="黑色页岩",4,IF(R196="凝灰岩",5,""))))))</f>
        <v>2</v>
      </c>
    </row>
    <row r="197" spans="1:19" x14ac:dyDescent="0.2">
      <c r="A197" t="s">
        <v>31</v>
      </c>
      <c r="B197">
        <v>1277.4838</v>
      </c>
      <c r="C197">
        <v>1281.8864000000001</v>
      </c>
      <c r="D197">
        <v>81.557741800000002</v>
      </c>
      <c r="E197">
        <v>3.3798325189999998</v>
      </c>
      <c r="F197">
        <v>140.90557820000001</v>
      </c>
      <c r="G197">
        <v>23.589303279999999</v>
      </c>
      <c r="H197">
        <v>24.45589399</v>
      </c>
      <c r="I197">
        <v>22.73474259</v>
      </c>
      <c r="J197">
        <v>21.617825190000001</v>
      </c>
      <c r="K197">
        <v>21.256549360000001</v>
      </c>
      <c r="L197">
        <v>241.6552404</v>
      </c>
      <c r="M197">
        <v>26.42369429</v>
      </c>
      <c r="N197">
        <v>2.6514697140000001</v>
      </c>
      <c r="O197">
        <v>-9.4421216000000002E-2</v>
      </c>
      <c r="P197">
        <v>0.45452789399999999</v>
      </c>
      <c r="Q197" t="s">
        <v>19</v>
      </c>
      <c r="R197" t="s">
        <v>22</v>
      </c>
      <c r="S197">
        <f>IF(R197="粉砂质泥岩",0,IF(R197="暗色泥岩",1,IF(R197="非均质砂岩",2,IF(R197="均质砂岩",3,IF(R197="黑色页岩",4,IF(R197="凝灰岩",5,""))))))</f>
        <v>0</v>
      </c>
    </row>
    <row r="198" spans="1:19" x14ac:dyDescent="0.2">
      <c r="A198" t="s">
        <v>31</v>
      </c>
      <c r="B198">
        <v>1281.8864000000001</v>
      </c>
      <c r="C198">
        <v>1283.367</v>
      </c>
      <c r="D198">
        <v>82.615917499999995</v>
      </c>
      <c r="E198">
        <v>3.0574384650000002</v>
      </c>
      <c r="F198">
        <v>106.7995993</v>
      </c>
      <c r="G198">
        <v>21.287020900000002</v>
      </c>
      <c r="H198">
        <v>20.941027569999999</v>
      </c>
      <c r="I198">
        <v>19.606012339999999</v>
      </c>
      <c r="J198">
        <v>18.948850780000001</v>
      </c>
      <c r="K198">
        <v>18.701298349999998</v>
      </c>
      <c r="L198">
        <v>236.14062730000001</v>
      </c>
      <c r="M198">
        <v>18.280153859999999</v>
      </c>
      <c r="N198">
        <v>2.5965007820000001</v>
      </c>
      <c r="O198">
        <v>-4.1060238999999998E-2</v>
      </c>
      <c r="P198">
        <v>0.283997999</v>
      </c>
      <c r="Q198" t="s">
        <v>19</v>
      </c>
      <c r="R198" t="s">
        <v>21</v>
      </c>
      <c r="S198">
        <f>IF(R198="粉砂质泥岩",0,IF(R198="暗色泥岩",1,IF(R198="非均质砂岩",2,IF(R198="均质砂岩",3,IF(R198="黑色页岩",4,IF(R198="凝灰岩",5,""))))))</f>
        <v>2</v>
      </c>
    </row>
    <row r="199" spans="1:19" x14ac:dyDescent="0.2">
      <c r="A199" t="s">
        <v>31</v>
      </c>
      <c r="B199">
        <v>1283.367</v>
      </c>
      <c r="C199">
        <v>1288.2786000000001</v>
      </c>
      <c r="D199">
        <v>87.138671110000004</v>
      </c>
      <c r="E199">
        <v>3.1301050130000001</v>
      </c>
      <c r="F199">
        <v>114.77350079999999</v>
      </c>
      <c r="G199">
        <v>24.28304</v>
      </c>
      <c r="H199">
        <v>23.602518419999999</v>
      </c>
      <c r="I199">
        <v>21.883015489999998</v>
      </c>
      <c r="J199">
        <v>20.94111023</v>
      </c>
      <c r="K199">
        <v>20.647789</v>
      </c>
      <c r="L199">
        <v>230.7194672</v>
      </c>
      <c r="M199">
        <v>19.89147496</v>
      </c>
      <c r="N199">
        <v>2.6415079889999999</v>
      </c>
      <c r="O199">
        <v>-5.0994429000000001E-2</v>
      </c>
      <c r="P199">
        <v>0.323867505</v>
      </c>
      <c r="Q199" t="s">
        <v>19</v>
      </c>
      <c r="R199" t="s">
        <v>22</v>
      </c>
      <c r="S199">
        <f>IF(R199="粉砂质泥岩",0,IF(R199="暗色泥岩",1,IF(R199="非均质砂岩",2,IF(R199="均质砂岩",3,IF(R199="黑色页岩",4,IF(R199="凝灰岩",5,""))))))</f>
        <v>0</v>
      </c>
    </row>
    <row r="200" spans="1:19" x14ac:dyDescent="0.2">
      <c r="A200" t="s">
        <v>31</v>
      </c>
      <c r="B200">
        <v>1288.2786000000001</v>
      </c>
      <c r="C200">
        <v>1289.6333</v>
      </c>
      <c r="D200">
        <v>84.221308390000004</v>
      </c>
      <c r="E200">
        <v>2.9594641730000002</v>
      </c>
      <c r="F200">
        <v>93.872209549999994</v>
      </c>
      <c r="G200">
        <v>32.1835947</v>
      </c>
      <c r="H200">
        <v>31.867147599999999</v>
      </c>
      <c r="I200">
        <v>29.175959429999999</v>
      </c>
      <c r="J200">
        <v>27.720846649999999</v>
      </c>
      <c r="K200">
        <v>27.096112569999999</v>
      </c>
      <c r="L200">
        <v>225.92476020000001</v>
      </c>
      <c r="M200">
        <v>18.3814168</v>
      </c>
      <c r="N200">
        <v>2.6037691829999998</v>
      </c>
      <c r="O200">
        <v>7.18638E-3</v>
      </c>
      <c r="P200">
        <v>0.219361048</v>
      </c>
      <c r="Q200" t="s">
        <v>19</v>
      </c>
      <c r="R200" t="s">
        <v>21</v>
      </c>
      <c r="S200">
        <f>IF(R200="粉砂质泥岩",0,IF(R200="暗色泥岩",1,IF(R200="非均质砂岩",2,IF(R200="均质砂岩",3,IF(R200="黑色页岩",4,IF(R200="凝灰岩",5,""))))))</f>
        <v>2</v>
      </c>
    </row>
    <row r="201" spans="1:19" x14ac:dyDescent="0.2">
      <c r="A201" t="s">
        <v>31</v>
      </c>
      <c r="B201">
        <v>1289.6333</v>
      </c>
      <c r="C201">
        <v>1291.3688</v>
      </c>
      <c r="D201">
        <v>83.04798787</v>
      </c>
      <c r="E201">
        <v>3.0938993300000002</v>
      </c>
      <c r="F201">
        <v>116.041861</v>
      </c>
      <c r="G201">
        <v>29.159153750000002</v>
      </c>
      <c r="H201">
        <v>28.852718100000001</v>
      </c>
      <c r="I201">
        <v>26.81768392</v>
      </c>
      <c r="J201">
        <v>25.258842340000001</v>
      </c>
      <c r="K201">
        <v>25.010129670000001</v>
      </c>
      <c r="L201">
        <v>230.1497325</v>
      </c>
      <c r="M201">
        <v>19.66953367</v>
      </c>
      <c r="N201">
        <v>2.6246713320000001</v>
      </c>
      <c r="O201">
        <v>-5.4269197999999998E-2</v>
      </c>
      <c r="P201">
        <v>0.33020930900000001</v>
      </c>
      <c r="Q201" t="s">
        <v>19</v>
      </c>
      <c r="R201" t="s">
        <v>22</v>
      </c>
      <c r="S201">
        <f>IF(R201="粉砂质泥岩",0,IF(R201="暗色泥岩",1,IF(R201="非均质砂岩",2,IF(R201="均质砂岩",3,IF(R201="黑色页岩",4,IF(R201="凝灰岩",5,""))))))</f>
        <v>0</v>
      </c>
    </row>
    <row r="202" spans="1:19" x14ac:dyDescent="0.2">
      <c r="A202" t="s">
        <v>31</v>
      </c>
      <c r="B202">
        <v>1291.3688</v>
      </c>
      <c r="C202">
        <v>1294.9248</v>
      </c>
      <c r="D202">
        <v>77.002693969999996</v>
      </c>
      <c r="E202">
        <v>2.8280717260000001</v>
      </c>
      <c r="F202">
        <v>100.8211865</v>
      </c>
      <c r="G202">
        <v>29.947939640000001</v>
      </c>
      <c r="H202">
        <v>30.990236410000001</v>
      </c>
      <c r="I202">
        <v>29.15135107</v>
      </c>
      <c r="J202">
        <v>27.466516169999998</v>
      </c>
      <c r="K202">
        <v>26.96889831</v>
      </c>
      <c r="L202">
        <v>232.5515279</v>
      </c>
      <c r="M202">
        <v>18.782310349999999</v>
      </c>
      <c r="N202">
        <v>2.566810008</v>
      </c>
      <c r="O202">
        <v>-1.6677859E-2</v>
      </c>
      <c r="P202">
        <v>0.25410593300000001</v>
      </c>
      <c r="Q202" t="s">
        <v>19</v>
      </c>
      <c r="R202" t="s">
        <v>21</v>
      </c>
      <c r="S202">
        <f>IF(R202="粉砂质泥岩",0,IF(R202="暗色泥岩",1,IF(R202="非均质砂岩",2,IF(R202="均质砂岩",3,IF(R202="黑色页岩",4,IF(R202="凝灰岩",5,""))))))</f>
        <v>2</v>
      </c>
    </row>
    <row r="203" spans="1:19" x14ac:dyDescent="0.2">
      <c r="A203" t="s">
        <v>31</v>
      </c>
      <c r="B203">
        <v>1294.9248</v>
      </c>
      <c r="C203">
        <v>1295.8127999999999</v>
      </c>
      <c r="D203">
        <v>78.670108799999994</v>
      </c>
      <c r="E203">
        <v>3.0691387649999999</v>
      </c>
      <c r="F203">
        <v>147.9515743</v>
      </c>
      <c r="G203">
        <v>23.868431090000001</v>
      </c>
      <c r="H203">
        <v>26.187815189999998</v>
      </c>
      <c r="I203">
        <v>25.604372260000002</v>
      </c>
      <c r="J203">
        <v>25.165327550000001</v>
      </c>
      <c r="K203">
        <v>23.67921638</v>
      </c>
      <c r="L203">
        <v>253.94897839999999</v>
      </c>
      <c r="M203">
        <v>25.367000340000001</v>
      </c>
      <c r="N203">
        <v>2.5479525029999999</v>
      </c>
      <c r="O203">
        <v>-0.13429598400000001</v>
      </c>
      <c r="P203">
        <v>0.48975786900000001</v>
      </c>
      <c r="Q203" t="s">
        <v>19</v>
      </c>
      <c r="R203" t="s">
        <v>20</v>
      </c>
      <c r="S203">
        <f>IF(R203="粉砂质泥岩",0,IF(R203="暗色泥岩",1,IF(R203="非均质砂岩",2,IF(R203="均质砂岩",3,IF(R203="黑色页岩",4,IF(R203="凝灰岩",5,""))))))</f>
        <v>1</v>
      </c>
    </row>
    <row r="204" spans="1:19" x14ac:dyDescent="0.2">
      <c r="A204" t="s">
        <v>31</v>
      </c>
      <c r="B204">
        <v>1295.8127999999999</v>
      </c>
      <c r="C204">
        <v>1297.5065</v>
      </c>
      <c r="D204">
        <v>82.076546219999997</v>
      </c>
      <c r="E204">
        <v>2.7892346859999999</v>
      </c>
      <c r="F204">
        <v>109.2198654</v>
      </c>
      <c r="G204">
        <v>31.559237799999998</v>
      </c>
      <c r="H204">
        <v>33.2946022</v>
      </c>
      <c r="I204">
        <v>31.02981771</v>
      </c>
      <c r="J204">
        <v>28.613360719999999</v>
      </c>
      <c r="K204">
        <v>28.10011355</v>
      </c>
      <c r="L204">
        <v>244.7367869</v>
      </c>
      <c r="M204">
        <v>20.742266969999999</v>
      </c>
      <c r="N204">
        <v>2.525023317</v>
      </c>
      <c r="O204">
        <v>-4.7313519999999998E-2</v>
      </c>
      <c r="P204">
        <v>0.29609932700000002</v>
      </c>
      <c r="Q204" t="s">
        <v>19</v>
      </c>
      <c r="R204" t="s">
        <v>21</v>
      </c>
      <c r="S204">
        <f>IF(R204="粉砂质泥岩",0,IF(R204="暗色泥岩",1,IF(R204="非均质砂岩",2,IF(R204="均质砂岩",3,IF(R204="黑色页岩",4,IF(R204="凝灰岩",5,""))))))</f>
        <v>2</v>
      </c>
    </row>
    <row r="205" spans="1:19" x14ac:dyDescent="0.2">
      <c r="A205" t="s">
        <v>31</v>
      </c>
      <c r="B205">
        <v>1297.5065</v>
      </c>
      <c r="C205">
        <v>1299.2421999999999</v>
      </c>
      <c r="D205">
        <v>87.759515379999996</v>
      </c>
      <c r="E205">
        <v>3.2226980209999998</v>
      </c>
      <c r="F205">
        <v>140.1691869</v>
      </c>
      <c r="G205">
        <v>27.367369459999999</v>
      </c>
      <c r="H205">
        <v>26.804352699999999</v>
      </c>
      <c r="I205">
        <v>25.024822870000001</v>
      </c>
      <c r="J205">
        <v>23.395648699999999</v>
      </c>
      <c r="K205">
        <v>23.127750020000001</v>
      </c>
      <c r="L205">
        <v>254.0865</v>
      </c>
      <c r="M205">
        <v>23.363866810000001</v>
      </c>
      <c r="N205">
        <v>2.566641331</v>
      </c>
      <c r="O205">
        <v>-0.15191136299999999</v>
      </c>
      <c r="P205">
        <v>0.45084593699999997</v>
      </c>
      <c r="Q205" t="s">
        <v>19</v>
      </c>
      <c r="R205" t="s">
        <v>22</v>
      </c>
      <c r="S205">
        <f>IF(R205="粉砂质泥岩",0,IF(R205="暗色泥岩",1,IF(R205="非均质砂岩",2,IF(R205="均质砂岩",3,IF(R205="黑色页岩",4,IF(R205="凝灰岩",5,""))))))</f>
        <v>0</v>
      </c>
    </row>
    <row r="206" spans="1:19" x14ac:dyDescent="0.2">
      <c r="A206" t="s">
        <v>31</v>
      </c>
      <c r="B206">
        <v>1299.2421999999999</v>
      </c>
      <c r="C206">
        <v>1309.8677</v>
      </c>
      <c r="D206">
        <v>86.570524349999999</v>
      </c>
      <c r="E206">
        <v>3.0730447769999998</v>
      </c>
      <c r="F206">
        <v>108.2584207</v>
      </c>
      <c r="G206">
        <v>37.421696949999998</v>
      </c>
      <c r="H206">
        <v>36.032912320000001</v>
      </c>
      <c r="I206">
        <v>33.194153139999997</v>
      </c>
      <c r="J206">
        <v>31.158495259999999</v>
      </c>
      <c r="K206">
        <v>30.524973070000001</v>
      </c>
      <c r="L206">
        <v>224.44624400000001</v>
      </c>
      <c r="M206">
        <v>18.418814000000001</v>
      </c>
      <c r="N206">
        <v>2.6267277830000002</v>
      </c>
      <c r="O206">
        <v>-5.0420332999999998E-2</v>
      </c>
      <c r="P206">
        <v>0.291292102</v>
      </c>
      <c r="Q206" t="s">
        <v>19</v>
      </c>
      <c r="R206" t="s">
        <v>22</v>
      </c>
      <c r="S206">
        <f>IF(R206="粉砂质泥岩",0,IF(R206="暗色泥岩",1,IF(R206="非均质砂岩",2,IF(R206="均质砂岩",3,IF(R206="黑色页岩",4,IF(R206="凝灰岩",5,""))))))</f>
        <v>0</v>
      </c>
    </row>
    <row r="207" spans="1:19" x14ac:dyDescent="0.2">
      <c r="A207" t="s">
        <v>31</v>
      </c>
      <c r="B207">
        <v>1309.8681999999999</v>
      </c>
      <c r="C207">
        <v>1314.8210999999999</v>
      </c>
      <c r="D207">
        <v>78.204019689999996</v>
      </c>
      <c r="E207">
        <v>2.8335236570000002</v>
      </c>
      <c r="F207">
        <v>92.494956040000005</v>
      </c>
      <c r="G207">
        <v>47.902067789999997</v>
      </c>
      <c r="H207">
        <v>46.757110500000003</v>
      </c>
      <c r="I207">
        <v>43.278508809999998</v>
      </c>
      <c r="J207">
        <v>40.539539150000003</v>
      </c>
      <c r="K207">
        <v>40.161385840000001</v>
      </c>
      <c r="L207">
        <v>227.24183840000001</v>
      </c>
      <c r="M207">
        <v>17.164170729999999</v>
      </c>
      <c r="N207">
        <v>2.5557285460000001</v>
      </c>
      <c r="O207">
        <v>-1.1796271000000001E-2</v>
      </c>
      <c r="P207">
        <v>0.212474779</v>
      </c>
      <c r="Q207" t="s">
        <v>19</v>
      </c>
      <c r="R207" t="s">
        <v>21</v>
      </c>
      <c r="S207">
        <f>IF(R207="粉砂质泥岩",0,IF(R207="暗色泥岩",1,IF(R207="非均质砂岩",2,IF(R207="均质砂岩",3,IF(R207="黑色页岩",4,IF(R207="凝灰岩",5,""))))))</f>
        <v>2</v>
      </c>
    </row>
    <row r="208" spans="1:19" x14ac:dyDescent="0.2">
      <c r="A208" t="s">
        <v>31</v>
      </c>
      <c r="B208">
        <v>1314.8210999999999</v>
      </c>
      <c r="C208">
        <v>1318.3347000000001</v>
      </c>
      <c r="D208">
        <v>84.933324350000007</v>
      </c>
      <c r="E208">
        <v>3.1247100090000002</v>
      </c>
      <c r="F208">
        <v>120.1661106</v>
      </c>
      <c r="G208">
        <v>33.629811189999998</v>
      </c>
      <c r="H208">
        <v>33.965099530000003</v>
      </c>
      <c r="I208">
        <v>31.831244829999999</v>
      </c>
      <c r="J208">
        <v>30.527442600000001</v>
      </c>
      <c r="K208">
        <v>29.970828940000001</v>
      </c>
      <c r="L208">
        <v>227.33252580000001</v>
      </c>
      <c r="M208">
        <v>19.445448320000001</v>
      </c>
      <c r="N208">
        <v>2.6157241610000002</v>
      </c>
      <c r="O208">
        <v>-6.1658901000000002E-2</v>
      </c>
      <c r="P208">
        <v>0.35083055499999999</v>
      </c>
      <c r="Q208" t="s">
        <v>19</v>
      </c>
      <c r="R208" t="s">
        <v>22</v>
      </c>
      <c r="S208">
        <f>IF(R208="粉砂质泥岩",0,IF(R208="暗色泥岩",1,IF(R208="非均质砂岩",2,IF(R208="均质砂岩",3,IF(R208="黑色页岩",4,IF(R208="凝灰岩",5,""))))))</f>
        <v>0</v>
      </c>
    </row>
    <row r="209" spans="1:19" x14ac:dyDescent="0.2">
      <c r="A209" t="s">
        <v>31</v>
      </c>
      <c r="B209">
        <v>1318.3770999999999</v>
      </c>
      <c r="C209">
        <v>1319.1389999999999</v>
      </c>
      <c r="D209">
        <v>85.463884629999995</v>
      </c>
      <c r="E209">
        <v>3.294585739</v>
      </c>
      <c r="F209">
        <v>158.45516860000001</v>
      </c>
      <c r="G209">
        <v>44.097216469999999</v>
      </c>
      <c r="H209">
        <v>44.389685489999998</v>
      </c>
      <c r="I209">
        <v>39.795631409999999</v>
      </c>
      <c r="J209">
        <v>37.508381710000002</v>
      </c>
      <c r="K209">
        <v>35.183476859999999</v>
      </c>
      <c r="L209">
        <v>238.66060089999999</v>
      </c>
      <c r="M209">
        <v>21.940856660000001</v>
      </c>
      <c r="N209">
        <v>2.614948579</v>
      </c>
      <c r="O209">
        <v>-0.167143445</v>
      </c>
      <c r="P209">
        <v>0.54227585</v>
      </c>
      <c r="Q209" t="s">
        <v>19</v>
      </c>
      <c r="R209" t="s">
        <v>20</v>
      </c>
      <c r="S209">
        <f>IF(R209="粉砂质泥岩",0,IF(R209="暗色泥岩",1,IF(R209="非均质砂岩",2,IF(R209="均质砂岩",3,IF(R209="黑色页岩",4,IF(R209="凝灰岩",5,""))))))</f>
        <v>1</v>
      </c>
    </row>
    <row r="210" spans="1:19" x14ac:dyDescent="0.2">
      <c r="A210" t="s">
        <v>31</v>
      </c>
      <c r="B210">
        <v>1319.1389999999999</v>
      </c>
      <c r="C210">
        <v>1321.2132999999999</v>
      </c>
      <c r="D210">
        <v>87.009585909999998</v>
      </c>
      <c r="E210">
        <v>3.344857229</v>
      </c>
      <c r="F210">
        <v>124.4722964</v>
      </c>
      <c r="G210">
        <v>39.824381090000003</v>
      </c>
      <c r="H210">
        <v>39.248603500000002</v>
      </c>
      <c r="I210">
        <v>35.516646809999997</v>
      </c>
      <c r="J210">
        <v>33.228390589999997</v>
      </c>
      <c r="K210">
        <v>31.92045826</v>
      </c>
      <c r="L210">
        <v>228.0362939</v>
      </c>
      <c r="M210">
        <v>19.942499900000001</v>
      </c>
      <c r="N210">
        <v>2.6266211269999999</v>
      </c>
      <c r="O210">
        <v>-7.5500442000000001E-2</v>
      </c>
      <c r="P210">
        <v>0.37236148499999999</v>
      </c>
      <c r="Q210" t="s">
        <v>19</v>
      </c>
      <c r="R210" t="s">
        <v>22</v>
      </c>
      <c r="S210">
        <f>IF(R210="粉砂质泥岩",0,IF(R210="暗色泥岩",1,IF(R210="非均质砂岩",2,IF(R210="均质砂岩",3,IF(R210="黑色页岩",4,IF(R210="凝灰岩",5,""))))))</f>
        <v>0</v>
      </c>
    </row>
    <row r="211" spans="1:19" x14ac:dyDescent="0.2">
      <c r="A211" t="s">
        <v>31</v>
      </c>
      <c r="B211">
        <v>1321.2132999999999</v>
      </c>
      <c r="C211">
        <v>1323.5839000000001</v>
      </c>
      <c r="D211">
        <v>86.598684689999999</v>
      </c>
      <c r="E211">
        <v>3.3997475029999999</v>
      </c>
      <c r="F211">
        <v>186.40315899999999</v>
      </c>
      <c r="G211">
        <v>21.116278550000001</v>
      </c>
      <c r="H211">
        <v>21.353487059999999</v>
      </c>
      <c r="I211">
        <v>20.38725934</v>
      </c>
      <c r="J211">
        <v>19.78802705</v>
      </c>
      <c r="K211">
        <v>19.639512589999999</v>
      </c>
      <c r="L211">
        <v>254.1330261</v>
      </c>
      <c r="M211">
        <v>25.825949949999998</v>
      </c>
      <c r="N211">
        <v>2.5875519749999998</v>
      </c>
      <c r="O211">
        <v>-0.17571651599999999</v>
      </c>
      <c r="P211">
        <v>0.68201579199999995</v>
      </c>
      <c r="Q211" t="s">
        <v>19</v>
      </c>
      <c r="R211" t="s">
        <v>20</v>
      </c>
      <c r="S211">
        <f>IF(R211="粉砂质泥岩",0,IF(R211="暗色泥岩",1,IF(R211="非均质砂岩",2,IF(R211="均质砂岩",3,IF(R211="黑色页岩",4,IF(R211="凝灰岩",5,""))))))</f>
        <v>1</v>
      </c>
    </row>
    <row r="212" spans="1:19" x14ac:dyDescent="0.2">
      <c r="A212" t="s">
        <v>31</v>
      </c>
      <c r="B212">
        <v>1323.5839000000001</v>
      </c>
      <c r="C212">
        <v>1336.0297</v>
      </c>
      <c r="D212">
        <v>83.613499410000003</v>
      </c>
      <c r="E212">
        <v>2.9649016860000001</v>
      </c>
      <c r="F212">
        <v>103.8190207</v>
      </c>
      <c r="G212">
        <v>45.504556659999999</v>
      </c>
      <c r="H212">
        <v>44.675256179999998</v>
      </c>
      <c r="I212">
        <v>41.336102629999999</v>
      </c>
      <c r="J212">
        <v>39.595946320000003</v>
      </c>
      <c r="K212">
        <v>39.56530901</v>
      </c>
      <c r="L212">
        <v>225.1060238</v>
      </c>
      <c r="M212">
        <v>16.78381203</v>
      </c>
      <c r="N212">
        <v>2.5895970250000002</v>
      </c>
      <c r="O212">
        <v>-2.8762752999999999E-2</v>
      </c>
      <c r="P212">
        <v>0.269095103</v>
      </c>
      <c r="Q212" t="s">
        <v>19</v>
      </c>
      <c r="R212" t="s">
        <v>21</v>
      </c>
      <c r="S212">
        <f>IF(R212="粉砂质泥岩",0,IF(R212="暗色泥岩",1,IF(R212="非均质砂岩",2,IF(R212="均质砂岩",3,IF(R212="黑色页岩",4,IF(R212="凝灰岩",5,""))))))</f>
        <v>2</v>
      </c>
    </row>
    <row r="213" spans="1:19" x14ac:dyDescent="0.2">
      <c r="A213" t="s">
        <v>31</v>
      </c>
      <c r="B213">
        <v>1336.0297</v>
      </c>
      <c r="C213">
        <v>1341.6599000000001</v>
      </c>
      <c r="D213">
        <v>89.116301160000006</v>
      </c>
      <c r="E213">
        <v>3.0069658760000002</v>
      </c>
      <c r="F213">
        <v>134.98311079999999</v>
      </c>
      <c r="G213">
        <v>20.221544640000001</v>
      </c>
      <c r="H213">
        <v>19.760819189999999</v>
      </c>
      <c r="I213">
        <v>18.037787940000001</v>
      </c>
      <c r="J213">
        <v>17.256827690000001</v>
      </c>
      <c r="K213">
        <v>16.79857625</v>
      </c>
      <c r="L213">
        <v>228.8718623</v>
      </c>
      <c r="M213">
        <v>19.122804290000001</v>
      </c>
      <c r="N213">
        <v>2.6379554270000001</v>
      </c>
      <c r="O213">
        <v>-0.113536259</v>
      </c>
      <c r="P213">
        <v>0.424915553</v>
      </c>
      <c r="Q213" t="s">
        <v>19</v>
      </c>
      <c r="R213" t="s">
        <v>22</v>
      </c>
      <c r="S213">
        <f>IF(R213="粉砂质泥岩",0,IF(R213="暗色泥岩",1,IF(R213="非均质砂岩",2,IF(R213="均质砂岩",3,IF(R213="黑色页岩",4,IF(R213="凝灰岩",5,""))))))</f>
        <v>0</v>
      </c>
    </row>
    <row r="214" spans="1:19" x14ac:dyDescent="0.2">
      <c r="A214" t="s">
        <v>31</v>
      </c>
      <c r="B214">
        <v>1341.6599000000001</v>
      </c>
      <c r="C214">
        <v>1342.8452</v>
      </c>
      <c r="D214">
        <v>86.485040280000007</v>
      </c>
      <c r="E214">
        <v>3.064803028</v>
      </c>
      <c r="F214">
        <v>117.0644302</v>
      </c>
      <c r="G214">
        <v>40.966117480000001</v>
      </c>
      <c r="H214">
        <v>44.57170181</v>
      </c>
      <c r="I214">
        <v>48.461825939999997</v>
      </c>
      <c r="J214">
        <v>48.752654649999997</v>
      </c>
      <c r="K214">
        <v>46.496704100000002</v>
      </c>
      <c r="L214">
        <v>221.7511902</v>
      </c>
      <c r="M214">
        <v>17.89850006</v>
      </c>
      <c r="N214">
        <v>2.599252033</v>
      </c>
      <c r="O214">
        <v>-3.3264443999999997E-2</v>
      </c>
      <c r="P214">
        <v>0.33532215399999998</v>
      </c>
      <c r="Q214" t="s">
        <v>19</v>
      </c>
      <c r="R214" t="s">
        <v>21</v>
      </c>
      <c r="S214">
        <f>IF(R214="粉砂质泥岩",0,IF(R214="暗色泥岩",1,IF(R214="非均质砂岩",2,IF(R214="均质砂岩",3,IF(R214="黑色页岩",4,IF(R214="凝灰岩",5,""))))))</f>
        <v>2</v>
      </c>
    </row>
    <row r="215" spans="1:19" x14ac:dyDescent="0.2">
      <c r="A215" t="s">
        <v>31</v>
      </c>
      <c r="B215">
        <v>1342.8452</v>
      </c>
      <c r="C215">
        <v>1343.8298</v>
      </c>
      <c r="D215">
        <v>85.652398000000005</v>
      </c>
      <c r="E215">
        <v>3.1412511140000001</v>
      </c>
      <c r="F215">
        <v>141.04791090000001</v>
      </c>
      <c r="G215">
        <v>16.316766470000001</v>
      </c>
      <c r="H215">
        <v>22.39153984</v>
      </c>
      <c r="I215">
        <v>29.826485420000001</v>
      </c>
      <c r="J215">
        <v>40.156904009999998</v>
      </c>
      <c r="K215">
        <v>37.136198360000002</v>
      </c>
      <c r="L215">
        <v>228.61744350000001</v>
      </c>
      <c r="M215">
        <v>18.7562222</v>
      </c>
      <c r="N215">
        <v>2.5950755810000001</v>
      </c>
      <c r="O215">
        <v>-0.112362226</v>
      </c>
      <c r="P215">
        <v>0.45523955100000002</v>
      </c>
      <c r="Q215" t="s">
        <v>19</v>
      </c>
      <c r="R215" t="s">
        <v>22</v>
      </c>
      <c r="S215">
        <f>IF(R215="粉砂质泥岩",0,IF(R215="暗色泥岩",1,IF(R215="非均质砂岩",2,IF(R215="均质砂岩",3,IF(R215="黑色页岩",4,IF(R215="凝灰岩",5,""))))))</f>
        <v>0</v>
      </c>
    </row>
    <row r="216" spans="1:19" x14ac:dyDescent="0.2">
      <c r="A216" t="s">
        <v>31</v>
      </c>
      <c r="B216">
        <v>1343.8298</v>
      </c>
      <c r="C216">
        <v>1345.2267999999999</v>
      </c>
      <c r="D216">
        <v>89.142565410000003</v>
      </c>
      <c r="E216">
        <v>2.9865858360000002</v>
      </c>
      <c r="F216">
        <v>172.0220324</v>
      </c>
      <c r="G216">
        <v>11.495728250000001</v>
      </c>
      <c r="H216">
        <v>14.45991083</v>
      </c>
      <c r="I216">
        <v>13.826536620000001</v>
      </c>
      <c r="J216">
        <v>15.143791869999999</v>
      </c>
      <c r="K216">
        <v>16.62639403</v>
      </c>
      <c r="L216">
        <v>235.7010104</v>
      </c>
      <c r="M216">
        <v>19.128250120000001</v>
      </c>
      <c r="N216">
        <v>2.6042249800000001</v>
      </c>
      <c r="O216">
        <v>-0.20854325800000001</v>
      </c>
      <c r="P216">
        <v>0.61011015899999999</v>
      </c>
      <c r="Q216" t="s">
        <v>19</v>
      </c>
      <c r="R216" t="s">
        <v>20</v>
      </c>
      <c r="S216">
        <f>IF(R216="粉砂质泥岩",0,IF(R216="暗色泥岩",1,IF(R216="非均质砂岩",2,IF(R216="均质砂岩",3,IF(R216="黑色页岩",4,IF(R216="凝灰岩",5,""))))))</f>
        <v>1</v>
      </c>
    </row>
    <row r="217" spans="1:19" x14ac:dyDescent="0.2">
      <c r="A217" t="s">
        <v>31</v>
      </c>
      <c r="B217">
        <v>1345.2938999999999</v>
      </c>
      <c r="C217">
        <v>1347.6751999999999</v>
      </c>
      <c r="D217">
        <v>91.931715389999994</v>
      </c>
      <c r="E217">
        <v>3.1964244960000001</v>
      </c>
      <c r="F217">
        <v>147.49661939999999</v>
      </c>
      <c r="G217">
        <v>28.1538763</v>
      </c>
      <c r="H217">
        <v>28.386972050000001</v>
      </c>
      <c r="I217">
        <v>26.237156299999999</v>
      </c>
      <c r="J217">
        <v>25.859037109999999</v>
      </c>
      <c r="K217">
        <v>25.229875849999999</v>
      </c>
      <c r="L217">
        <v>232.2662704</v>
      </c>
      <c r="M217">
        <v>20.625000190000002</v>
      </c>
      <c r="N217">
        <v>2.5974770070000002</v>
      </c>
      <c r="O217">
        <v>-0.12606820299999999</v>
      </c>
      <c r="P217">
        <v>0.48748309899999998</v>
      </c>
      <c r="Q217" t="s">
        <v>19</v>
      </c>
      <c r="R217" t="s">
        <v>22</v>
      </c>
      <c r="S217">
        <f>IF(R217="粉砂质泥岩",0,IF(R217="暗色泥岩",1,IF(R217="非均质砂岩",2,IF(R217="均质砂岩",3,IF(R217="黑色页岩",4,IF(R217="凝灰岩",5,""))))))</f>
        <v>0</v>
      </c>
    </row>
    <row r="218" spans="1:19" x14ac:dyDescent="0.2">
      <c r="A218" t="s">
        <v>31</v>
      </c>
      <c r="B218">
        <v>1347.6751999999999</v>
      </c>
      <c r="C218">
        <v>1349.0509</v>
      </c>
      <c r="D218">
        <v>92.277575170000006</v>
      </c>
      <c r="E218">
        <v>2.962854981</v>
      </c>
      <c r="F218">
        <v>203.8298581</v>
      </c>
      <c r="G218">
        <v>22.323955850000001</v>
      </c>
      <c r="H218">
        <v>22.450385730000001</v>
      </c>
      <c r="I218">
        <v>21.193063890000001</v>
      </c>
      <c r="J218">
        <v>20.173562369999999</v>
      </c>
      <c r="K218">
        <v>19.63764763</v>
      </c>
      <c r="L218">
        <v>255.12486519999999</v>
      </c>
      <c r="M218">
        <v>25.38725011</v>
      </c>
      <c r="N218">
        <v>2.5150825380000001</v>
      </c>
      <c r="O218">
        <v>-0.191734767</v>
      </c>
      <c r="P218">
        <v>0.76914928400000004</v>
      </c>
      <c r="Q218" t="s">
        <v>19</v>
      </c>
      <c r="R218" t="s">
        <v>20</v>
      </c>
      <c r="S218">
        <f>IF(R218="粉砂质泥岩",0,IF(R218="暗色泥岩",1,IF(R218="非均质砂岩",2,IF(R218="均质砂岩",3,IF(R218="黑色页岩",4,IF(R218="凝灰岩",5,""))))))</f>
        <v>1</v>
      </c>
    </row>
    <row r="219" spans="1:19" x14ac:dyDescent="0.2">
      <c r="A219" t="s">
        <v>31</v>
      </c>
      <c r="B219">
        <v>1349.0509</v>
      </c>
      <c r="C219">
        <v>1350.2692999999999</v>
      </c>
      <c r="D219">
        <v>92.367348410000005</v>
      </c>
      <c r="E219">
        <v>2.918731841</v>
      </c>
      <c r="F219">
        <v>106.9990949</v>
      </c>
      <c r="G219">
        <v>38.973774480000003</v>
      </c>
      <c r="H219">
        <v>40.183177950000001</v>
      </c>
      <c r="I219">
        <v>37.310329260000003</v>
      </c>
      <c r="J219">
        <v>35.265559799999998</v>
      </c>
      <c r="K219">
        <v>34.449091299999999</v>
      </c>
      <c r="L219">
        <v>233.00912750000001</v>
      </c>
      <c r="M219">
        <v>17.591909149999999</v>
      </c>
      <c r="N219">
        <v>2.5477372950000001</v>
      </c>
      <c r="O219">
        <v>-5.0141482000000001E-2</v>
      </c>
      <c r="P219">
        <v>0.284995473</v>
      </c>
      <c r="Q219" t="s">
        <v>19</v>
      </c>
      <c r="R219" t="s">
        <v>21</v>
      </c>
      <c r="S219">
        <f>IF(R219="粉砂质泥岩",0,IF(R219="暗色泥岩",1,IF(R219="非均质砂岩",2,IF(R219="均质砂岩",3,IF(R219="黑色页岩",4,IF(R219="凝灰岩",5,""))))))</f>
        <v>2</v>
      </c>
    </row>
    <row r="220" spans="1:19" x14ac:dyDescent="0.2">
      <c r="A220" t="s">
        <v>31</v>
      </c>
      <c r="B220">
        <v>1350.2692999999999</v>
      </c>
      <c r="C220">
        <v>1353.1504</v>
      </c>
      <c r="D220">
        <v>92.458176929999993</v>
      </c>
      <c r="E220">
        <v>3.1299958330000002</v>
      </c>
      <c r="F220">
        <v>120.4495052</v>
      </c>
      <c r="G220">
        <v>29.764671249999999</v>
      </c>
      <c r="H220">
        <v>29.86162861</v>
      </c>
      <c r="I220">
        <v>28.201490079999999</v>
      </c>
      <c r="J220">
        <v>26.948529480000001</v>
      </c>
      <c r="K220">
        <v>27.088907160000002</v>
      </c>
      <c r="L220">
        <v>225.81614490000001</v>
      </c>
      <c r="M220">
        <v>18.277874950000001</v>
      </c>
      <c r="N220">
        <v>2.6384862359999999</v>
      </c>
      <c r="O220">
        <v>-5.1993207E-2</v>
      </c>
      <c r="P220">
        <v>0.35224752500000001</v>
      </c>
      <c r="Q220" t="s">
        <v>19</v>
      </c>
      <c r="R220" t="s">
        <v>22</v>
      </c>
      <c r="S220">
        <f>IF(R220="粉砂质泥岩",0,IF(R220="暗色泥岩",1,IF(R220="非均质砂岩",2,IF(R220="均质砂岩",3,IF(R220="黑色页岩",4,IF(R220="凝灰岩",5,""))))))</f>
        <v>0</v>
      </c>
    </row>
    <row r="221" spans="1:19" x14ac:dyDescent="0.2">
      <c r="A221" t="s">
        <v>31</v>
      </c>
      <c r="B221">
        <v>1353.1504</v>
      </c>
      <c r="C221">
        <v>1358.6537000000001</v>
      </c>
      <c r="D221">
        <v>83.558028840000006</v>
      </c>
      <c r="E221">
        <v>2.9544017739999999</v>
      </c>
      <c r="F221">
        <v>105.73789050000001</v>
      </c>
      <c r="G221">
        <v>37.010043119999999</v>
      </c>
      <c r="H221">
        <v>37.183997509999998</v>
      </c>
      <c r="I221">
        <v>34.493759369999999</v>
      </c>
      <c r="J221">
        <v>32.93246748</v>
      </c>
      <c r="K221">
        <v>33.052414450000001</v>
      </c>
      <c r="L221">
        <v>227.80265059999999</v>
      </c>
      <c r="M221">
        <v>17.328111119999999</v>
      </c>
      <c r="N221">
        <v>2.5929664240000001</v>
      </c>
      <c r="O221">
        <v>-2.9522290999999999E-2</v>
      </c>
      <c r="P221">
        <v>0.278689452</v>
      </c>
      <c r="Q221" t="s">
        <v>19</v>
      </c>
      <c r="R221" t="s">
        <v>21</v>
      </c>
      <c r="S221">
        <f>IF(R221="粉砂质泥岩",0,IF(R221="暗色泥岩",1,IF(R221="非均质砂岩",2,IF(R221="均质砂岩",3,IF(R221="黑色页岩",4,IF(R221="凝灰岩",5,""))))))</f>
        <v>2</v>
      </c>
    </row>
    <row r="222" spans="1:19" x14ac:dyDescent="0.2">
      <c r="A222" t="s">
        <v>31</v>
      </c>
      <c r="B222">
        <v>1358.6537000000001</v>
      </c>
      <c r="C222">
        <v>1362.2335</v>
      </c>
      <c r="D222">
        <v>86.458510340000004</v>
      </c>
      <c r="E222">
        <v>3.2351249850000001</v>
      </c>
      <c r="F222">
        <v>127.5759829</v>
      </c>
      <c r="G222">
        <v>31.778780300000001</v>
      </c>
      <c r="H222">
        <v>31.00206051</v>
      </c>
      <c r="I222">
        <v>28.31910324</v>
      </c>
      <c r="J222">
        <v>26.87246691</v>
      </c>
      <c r="K222">
        <v>26.304256689999999</v>
      </c>
      <c r="L222">
        <v>225.6702861</v>
      </c>
      <c r="M222">
        <v>19.806066770000001</v>
      </c>
      <c r="N222">
        <v>2.6483296549999999</v>
      </c>
      <c r="O222">
        <v>-5.4143604999999997E-2</v>
      </c>
      <c r="P222">
        <v>0.38787991399999999</v>
      </c>
      <c r="Q222" t="s">
        <v>19</v>
      </c>
      <c r="R222" t="s">
        <v>22</v>
      </c>
      <c r="S222">
        <f>IF(R222="粉砂质泥岩",0,IF(R222="暗色泥岩",1,IF(R222="非均质砂岩",2,IF(R222="均质砂岩",3,IF(R222="黑色页岩",4,IF(R222="凝灰岩",5,""))))))</f>
        <v>0</v>
      </c>
    </row>
    <row r="223" spans="1:19" x14ac:dyDescent="0.2">
      <c r="A223" t="s">
        <v>31</v>
      </c>
      <c r="B223">
        <v>1362.2335</v>
      </c>
      <c r="C223">
        <v>1364.1385</v>
      </c>
      <c r="D223">
        <v>86.820148470000007</v>
      </c>
      <c r="E223">
        <v>3.3222950249999998</v>
      </c>
      <c r="F223">
        <v>119.60094359999999</v>
      </c>
      <c r="G223">
        <v>31.80789936</v>
      </c>
      <c r="H223">
        <v>32.645790580000003</v>
      </c>
      <c r="I223">
        <v>30.136937979999999</v>
      </c>
      <c r="J223">
        <v>29.126195549999998</v>
      </c>
      <c r="K223">
        <v>28.290191050000001</v>
      </c>
      <c r="L223">
        <v>225.1180382</v>
      </c>
      <c r="M223">
        <v>19.973187329999998</v>
      </c>
      <c r="N223">
        <v>2.655161262</v>
      </c>
      <c r="O223">
        <v>-2.4691959999999999E-2</v>
      </c>
      <c r="P223">
        <v>0.34800471599999999</v>
      </c>
      <c r="Q223" t="s">
        <v>19</v>
      </c>
      <c r="R223" t="s">
        <v>21</v>
      </c>
      <c r="S223">
        <f>IF(R223="粉砂质泥岩",0,IF(R223="暗色泥岩",1,IF(R223="非均质砂岩",2,IF(R223="均质砂岩",3,IF(R223="黑色页岩",4,IF(R223="凝灰岩",5,""))))))</f>
        <v>2</v>
      </c>
    </row>
    <row r="224" spans="1:19" x14ac:dyDescent="0.2">
      <c r="A224" t="s">
        <v>31</v>
      </c>
      <c r="B224">
        <v>1364.1385</v>
      </c>
      <c r="C224">
        <v>1365.2814000000001</v>
      </c>
      <c r="D224">
        <v>85.787182619999996</v>
      </c>
      <c r="E224">
        <v>3.3936059709999999</v>
      </c>
      <c r="F224">
        <v>176.07405850000001</v>
      </c>
      <c r="G224">
        <v>16.33082228</v>
      </c>
      <c r="H224">
        <v>17.18860617</v>
      </c>
      <c r="I224">
        <v>16.845507720000001</v>
      </c>
      <c r="J224">
        <v>16.3193409</v>
      </c>
      <c r="K224">
        <v>16.58504696</v>
      </c>
      <c r="L224">
        <v>244.0754608</v>
      </c>
      <c r="M224">
        <v>23.39050026</v>
      </c>
      <c r="N224">
        <v>2.6409610749999999</v>
      </c>
      <c r="O224">
        <v>-0.142590994</v>
      </c>
      <c r="P224">
        <v>0.63037028900000003</v>
      </c>
      <c r="Q224" t="s">
        <v>19</v>
      </c>
      <c r="R224" t="s">
        <v>22</v>
      </c>
      <c r="S224">
        <f>IF(R224="粉砂质泥岩",0,IF(R224="暗色泥岩",1,IF(R224="非均质砂岩",2,IF(R224="均质砂岩",3,IF(R224="黑色页岩",4,IF(R224="凝灰岩",5,""))))))</f>
        <v>0</v>
      </c>
    </row>
    <row r="225" spans="1:19" x14ac:dyDescent="0.2">
      <c r="A225" t="s">
        <v>31</v>
      </c>
      <c r="B225">
        <v>1365.2814000000001</v>
      </c>
      <c r="C225">
        <v>1368.3716999999999</v>
      </c>
      <c r="D225">
        <v>88.609088600000007</v>
      </c>
      <c r="E225">
        <v>2.8637957850000002</v>
      </c>
      <c r="F225">
        <v>203.48648130000001</v>
      </c>
      <c r="G225">
        <v>34.095569060000003</v>
      </c>
      <c r="H225">
        <v>33.605755729999998</v>
      </c>
      <c r="I225">
        <v>30.556301560000001</v>
      </c>
      <c r="J225">
        <v>28.83781239</v>
      </c>
      <c r="K225">
        <v>28.019916089999999</v>
      </c>
      <c r="L225">
        <v>240.7961138</v>
      </c>
      <c r="M225">
        <v>22.243961479999999</v>
      </c>
      <c r="N225">
        <v>2.5199061540000001</v>
      </c>
      <c r="O225">
        <v>2.2465088000000001E-2</v>
      </c>
      <c r="P225">
        <v>0.76743240800000001</v>
      </c>
      <c r="Q225" t="s">
        <v>19</v>
      </c>
      <c r="R225" t="s">
        <v>21</v>
      </c>
      <c r="S225">
        <f>IF(R225="粉砂质泥岩",0,IF(R225="暗色泥岩",1,IF(R225="非均质砂岩",2,IF(R225="均质砂岩",3,IF(R225="黑色页岩",4,IF(R225="凝灰岩",5,""))))))</f>
        <v>2</v>
      </c>
    </row>
    <row r="226" spans="1:19" x14ac:dyDescent="0.2">
      <c r="A226" t="s">
        <v>31</v>
      </c>
      <c r="B226">
        <v>1368.3716999999999</v>
      </c>
      <c r="C226">
        <v>1371.97</v>
      </c>
      <c r="D226">
        <v>90.216114300000001</v>
      </c>
      <c r="E226">
        <v>3.2476843280000001</v>
      </c>
      <c r="F226">
        <v>189.28294450000001</v>
      </c>
      <c r="G226">
        <v>29.025050230000002</v>
      </c>
      <c r="H226">
        <v>30.99302934</v>
      </c>
      <c r="I226">
        <v>30.659773449999999</v>
      </c>
      <c r="J226">
        <v>29.43364201</v>
      </c>
      <c r="K226">
        <v>28.825583779999999</v>
      </c>
      <c r="L226">
        <v>248.4855001</v>
      </c>
      <c r="M226">
        <v>25.296800040000001</v>
      </c>
      <c r="N226">
        <v>2.585880017</v>
      </c>
      <c r="O226">
        <v>-0.104273466</v>
      </c>
      <c r="P226">
        <v>0.69641472400000004</v>
      </c>
      <c r="Q226" t="s">
        <v>19</v>
      </c>
      <c r="R226" t="s">
        <v>22</v>
      </c>
      <c r="S226">
        <f>IF(R226="粉砂质泥岩",0,IF(R226="暗色泥岩",1,IF(R226="非均质砂岩",2,IF(R226="均质砂岩",3,IF(R226="黑色页岩",4,IF(R226="凝灰岩",5,""))))))</f>
        <v>0</v>
      </c>
    </row>
    <row r="227" spans="1:19" x14ac:dyDescent="0.2">
      <c r="A227" t="s">
        <v>31</v>
      </c>
      <c r="B227">
        <v>1371.97</v>
      </c>
      <c r="C227">
        <v>1373.6576</v>
      </c>
      <c r="D227">
        <v>91.223319500000002</v>
      </c>
      <c r="E227">
        <v>2.7674780050000001</v>
      </c>
      <c r="F227">
        <v>185.42013299999999</v>
      </c>
      <c r="G227">
        <v>40.322393419999997</v>
      </c>
      <c r="H227">
        <v>47.817902369999999</v>
      </c>
      <c r="I227">
        <v>44.596319200000003</v>
      </c>
      <c r="J227">
        <v>41.956375379999997</v>
      </c>
      <c r="K227">
        <v>41.285927710000003</v>
      </c>
      <c r="L227">
        <v>243.46136680000001</v>
      </c>
      <c r="M227">
        <v>22.915066660000001</v>
      </c>
      <c r="N227">
        <v>2.4984979950000001</v>
      </c>
      <c r="O227">
        <v>1.5903154999999999E-2</v>
      </c>
      <c r="P227">
        <v>0.67710066800000002</v>
      </c>
      <c r="Q227" t="s">
        <v>19</v>
      </c>
      <c r="R227" t="s">
        <v>21</v>
      </c>
      <c r="S227">
        <f>IF(R227="粉砂质泥岩",0,IF(R227="暗色泥岩",1,IF(R227="非均质砂岩",2,IF(R227="均质砂岩",3,IF(R227="黑色页岩",4,IF(R227="凝灰岩",5,""))))))</f>
        <v>2</v>
      </c>
    </row>
    <row r="228" spans="1:19" x14ac:dyDescent="0.2">
      <c r="A228" t="s">
        <v>31</v>
      </c>
      <c r="B228">
        <v>1373.6576</v>
      </c>
      <c r="C228">
        <v>1375.6144999999999</v>
      </c>
      <c r="D228">
        <v>93.139809999999997</v>
      </c>
      <c r="E228">
        <v>3.265392963</v>
      </c>
      <c r="F228">
        <v>163.4281378</v>
      </c>
      <c r="G228">
        <v>23.747371170000001</v>
      </c>
      <c r="H228">
        <v>23.858037329999998</v>
      </c>
      <c r="I228">
        <v>22.64655007</v>
      </c>
      <c r="J228">
        <v>21.337248630000001</v>
      </c>
      <c r="K228">
        <v>21.298136370000002</v>
      </c>
      <c r="L228">
        <v>239.02088660000001</v>
      </c>
      <c r="M228">
        <v>24.068588139999999</v>
      </c>
      <c r="N228">
        <v>2.6287541249999999</v>
      </c>
      <c r="O228">
        <v>-4.0961403E-2</v>
      </c>
      <c r="P228">
        <v>0.56714069300000003</v>
      </c>
      <c r="Q228" t="s">
        <v>19</v>
      </c>
      <c r="R228" t="s">
        <v>22</v>
      </c>
      <c r="S228">
        <f>IF(R228="粉砂质泥岩",0,IF(R228="暗色泥岩",1,IF(R228="非均质砂岩",2,IF(R228="均质砂岩",3,IF(R228="黑色页岩",4,IF(R228="凝灰岩",5,""))))))</f>
        <v>0</v>
      </c>
    </row>
    <row r="229" spans="1:19" x14ac:dyDescent="0.2">
      <c r="A229" t="s">
        <v>31</v>
      </c>
      <c r="B229">
        <v>1375.6144999999999</v>
      </c>
      <c r="C229">
        <v>1378.5779</v>
      </c>
      <c r="D229">
        <v>88.066524659999999</v>
      </c>
      <c r="E229">
        <v>2.6613060000000002</v>
      </c>
      <c r="F229">
        <v>226.36213129999999</v>
      </c>
      <c r="G229">
        <v>39.556522370000003</v>
      </c>
      <c r="H229">
        <v>41.525239259999999</v>
      </c>
      <c r="I229">
        <v>39.959648440000002</v>
      </c>
      <c r="J229">
        <v>37.852270580000003</v>
      </c>
      <c r="K229">
        <v>37.235200040000002</v>
      </c>
      <c r="L229">
        <v>246.1968756</v>
      </c>
      <c r="M229">
        <v>23.312159959999999</v>
      </c>
      <c r="N229">
        <v>2.4954027939999999</v>
      </c>
      <c r="O229">
        <v>2.3735430000000001E-3</v>
      </c>
      <c r="P229">
        <v>0.88181065599999997</v>
      </c>
      <c r="Q229" t="s">
        <v>19</v>
      </c>
      <c r="R229" t="s">
        <v>20</v>
      </c>
      <c r="S229">
        <f>IF(R229="粉砂质泥岩",0,IF(R229="暗色泥岩",1,IF(R229="非均质砂岩",2,IF(R229="均质砂岩",3,IF(R229="黑色页岩",4,IF(R229="凝灰岩",5,""))))))</f>
        <v>1</v>
      </c>
    </row>
    <row r="230" spans="1:19" x14ac:dyDescent="0.2">
      <c r="A230" t="s">
        <v>31</v>
      </c>
      <c r="B230">
        <v>1378.5779</v>
      </c>
      <c r="C230">
        <v>1381.8344</v>
      </c>
      <c r="D230">
        <v>69.527738220000003</v>
      </c>
      <c r="E230">
        <v>3.5915581560000001</v>
      </c>
      <c r="F230">
        <v>212.8692977</v>
      </c>
      <c r="G230">
        <v>48.669276410000002</v>
      </c>
      <c r="H230">
        <v>52.919237840000001</v>
      </c>
      <c r="I230">
        <v>50.499274569999997</v>
      </c>
      <c r="J230">
        <v>48.882676799999999</v>
      </c>
      <c r="K230">
        <v>47.271912469999997</v>
      </c>
      <c r="L230">
        <v>263.7665513</v>
      </c>
      <c r="M230">
        <v>31.910852080000002</v>
      </c>
      <c r="N230">
        <v>2.5510237309999999</v>
      </c>
      <c r="O230">
        <v>-9.2650248000000004E-2</v>
      </c>
      <c r="P230">
        <v>0.81434649299999995</v>
      </c>
      <c r="Q230" t="s">
        <v>19</v>
      </c>
      <c r="R230" t="s">
        <v>22</v>
      </c>
      <c r="S230">
        <f>IF(R230="粉砂质泥岩",0,IF(R230="暗色泥岩",1,IF(R230="非均质砂岩",2,IF(R230="均质砂岩",3,IF(R230="黑色页岩",4,IF(R230="凝灰岩",5,""))))))</f>
        <v>0</v>
      </c>
    </row>
    <row r="231" spans="1:19" x14ac:dyDescent="0.2">
      <c r="A231" t="s">
        <v>31</v>
      </c>
      <c r="B231">
        <v>1381.8344</v>
      </c>
      <c r="C231">
        <v>1392.8651</v>
      </c>
      <c r="D231">
        <v>50.707639200000003</v>
      </c>
      <c r="E231">
        <v>3.9215690900000002</v>
      </c>
      <c r="F231">
        <v>496.30782069999998</v>
      </c>
      <c r="G231">
        <v>71.519256679999998</v>
      </c>
      <c r="H231">
        <v>74.101961500000002</v>
      </c>
      <c r="I231">
        <v>73.052152419999999</v>
      </c>
      <c r="J231">
        <v>74.553680959999994</v>
      </c>
      <c r="K231">
        <v>72.882277700000003</v>
      </c>
      <c r="L231">
        <v>338.19275040000002</v>
      </c>
      <c r="M231">
        <v>45.531202229999998</v>
      </c>
      <c r="N231">
        <v>2.1893508970000002</v>
      </c>
      <c r="O231">
        <v>-0.183765651</v>
      </c>
      <c r="P231">
        <v>2.231539105</v>
      </c>
      <c r="Q231" t="s">
        <v>19</v>
      </c>
      <c r="R231" t="s">
        <v>25</v>
      </c>
      <c r="S231">
        <f>IF(R231="粉砂质泥岩",0,IF(R231="暗色泥岩",1,IF(R231="非均质砂岩",2,IF(R231="均质砂岩",3,IF(R231="黑色页岩",4,IF(R231="凝灰岩",5,""))))))</f>
        <v>4</v>
      </c>
    </row>
    <row r="232" spans="1:19" x14ac:dyDescent="0.2">
      <c r="A232" t="s">
        <v>31</v>
      </c>
      <c r="B232">
        <v>1392.8651</v>
      </c>
      <c r="C232">
        <v>1395.1913</v>
      </c>
      <c r="D232">
        <v>93.490756230000002</v>
      </c>
      <c r="E232">
        <v>2.9197870140000002</v>
      </c>
      <c r="F232">
        <v>188.5201897</v>
      </c>
      <c r="G232">
        <v>27.30285301</v>
      </c>
      <c r="H232">
        <v>30.497110840000001</v>
      </c>
      <c r="I232">
        <v>29.976958610000001</v>
      </c>
      <c r="J232">
        <v>30.68507705</v>
      </c>
      <c r="K232">
        <v>30.119464300000001</v>
      </c>
      <c r="L232">
        <v>278.25793759999999</v>
      </c>
      <c r="M232">
        <v>27.739249610000002</v>
      </c>
      <c r="N232">
        <v>2.4263184789999999</v>
      </c>
      <c r="O232">
        <v>-0.21507601200000001</v>
      </c>
      <c r="P232">
        <v>0.69260095399999999</v>
      </c>
      <c r="Q232" t="s">
        <v>19</v>
      </c>
      <c r="R232" t="s">
        <v>20</v>
      </c>
      <c r="S232">
        <f>IF(R232="粉砂质泥岩",0,IF(R232="暗色泥岩",1,IF(R232="非均质砂岩",2,IF(R232="均质砂岩",3,IF(R232="黑色页岩",4,IF(R232="凝灰岩",5,""))))))</f>
        <v>1</v>
      </c>
    </row>
    <row r="233" spans="1:19" x14ac:dyDescent="0.2">
      <c r="A233" t="s">
        <v>32</v>
      </c>
      <c r="B233">
        <v>1535.0758000000001</v>
      </c>
      <c r="C233">
        <v>1538.7601</v>
      </c>
      <c r="D233">
        <v>56.216891099999998</v>
      </c>
      <c r="E233">
        <v>2.9948008860000002</v>
      </c>
      <c r="F233">
        <v>105.2623706</v>
      </c>
      <c r="G233">
        <v>23.84006999</v>
      </c>
      <c r="H233">
        <v>22.05045754</v>
      </c>
      <c r="I233">
        <v>21.283148610000001</v>
      </c>
      <c r="J233">
        <v>22.132548270000001</v>
      </c>
      <c r="K233">
        <v>22.676719980000001</v>
      </c>
      <c r="L233">
        <v>233.96752269999999</v>
      </c>
      <c r="M233">
        <v>19.48701436</v>
      </c>
      <c r="N233">
        <v>2.628837061</v>
      </c>
      <c r="O233">
        <v>-0.109096703</v>
      </c>
      <c r="P233">
        <v>0.27631185600000002</v>
      </c>
      <c r="Q233" t="s">
        <v>19</v>
      </c>
      <c r="R233" t="s">
        <v>22</v>
      </c>
      <c r="S233">
        <f>IF(R233="粉砂质泥岩",0,IF(R233="暗色泥岩",1,IF(R233="非均质砂岩",2,IF(R233="均质砂岩",3,IF(R233="黑色页岩",4,IF(R233="凝灰岩",5,""))))))</f>
        <v>0</v>
      </c>
    </row>
    <row r="234" spans="1:19" x14ac:dyDescent="0.2">
      <c r="A234" t="s">
        <v>32</v>
      </c>
      <c r="B234">
        <v>1538.7601</v>
      </c>
      <c r="C234">
        <v>1540.5803000000001</v>
      </c>
      <c r="D234">
        <v>53.255812409999997</v>
      </c>
      <c r="E234">
        <v>2.8493186380000002</v>
      </c>
      <c r="F234">
        <v>91.11346245</v>
      </c>
      <c r="G234">
        <v>61.729606990000001</v>
      </c>
      <c r="H234">
        <v>39.82242823</v>
      </c>
      <c r="I234">
        <v>36.800085070000002</v>
      </c>
      <c r="J234">
        <v>39.34737217</v>
      </c>
      <c r="K234">
        <v>40.496626499999998</v>
      </c>
      <c r="L234">
        <v>232.52459239999999</v>
      </c>
      <c r="M234">
        <v>17.592761700000001</v>
      </c>
      <c r="N234">
        <v>2.5398253049999999</v>
      </c>
      <c r="O234">
        <v>-2.1834180000000002E-2</v>
      </c>
      <c r="P234">
        <v>0.205567311</v>
      </c>
      <c r="Q234" t="s">
        <v>19</v>
      </c>
      <c r="R234" t="s">
        <v>21</v>
      </c>
      <c r="S234">
        <f>IF(R234="粉砂质泥岩",0,IF(R234="暗色泥岩",1,IF(R234="非均质砂岩",2,IF(R234="均质砂岩",3,IF(R234="黑色页岩",4,IF(R234="凝灰岩",5,""))))))</f>
        <v>2</v>
      </c>
    </row>
    <row r="235" spans="1:19" x14ac:dyDescent="0.2">
      <c r="A235" t="s">
        <v>32</v>
      </c>
      <c r="B235">
        <v>1540.6649</v>
      </c>
      <c r="C235">
        <v>1541.2575999999999</v>
      </c>
      <c r="D235">
        <v>51.913042699999998</v>
      </c>
      <c r="E235">
        <v>2.8408958119999999</v>
      </c>
      <c r="F235">
        <v>100.3207728</v>
      </c>
      <c r="G235">
        <v>32.81938203</v>
      </c>
      <c r="H235">
        <v>29.716526349999999</v>
      </c>
      <c r="I235">
        <v>28.623743690000001</v>
      </c>
      <c r="J235">
        <v>29.561354000000001</v>
      </c>
      <c r="K235">
        <v>30.099402749999999</v>
      </c>
      <c r="L235">
        <v>234.08773299999999</v>
      </c>
      <c r="M235">
        <v>19.935147600000001</v>
      </c>
      <c r="N235">
        <v>2.5746463140000002</v>
      </c>
      <c r="O235">
        <v>-7.7529561999999996E-2</v>
      </c>
      <c r="P235">
        <v>0.25160386200000001</v>
      </c>
      <c r="Q235" t="s">
        <v>19</v>
      </c>
      <c r="R235" t="s">
        <v>22</v>
      </c>
      <c r="S235">
        <f>IF(R235="粉砂质泥岩",0,IF(R235="暗色泥岩",1,IF(R235="非均质砂岩",2,IF(R235="均质砂岩",3,IF(R235="黑色页岩",4,IF(R235="凝灰岩",5,""))))))</f>
        <v>0</v>
      </c>
    </row>
    <row r="236" spans="1:19" x14ac:dyDescent="0.2">
      <c r="A236" t="s">
        <v>32</v>
      </c>
      <c r="B236">
        <v>1541.2575999999999</v>
      </c>
      <c r="C236">
        <v>1548.0309</v>
      </c>
      <c r="D236">
        <v>52.431089440000001</v>
      </c>
      <c r="E236">
        <v>2.6793180510000001</v>
      </c>
      <c r="F236">
        <v>82.428138939999997</v>
      </c>
      <c r="G236">
        <v>45.381768520000001</v>
      </c>
      <c r="H236">
        <v>37.615830090000003</v>
      </c>
      <c r="I236">
        <v>35.455274240000001</v>
      </c>
      <c r="J236">
        <v>37.631926999999997</v>
      </c>
      <c r="K236">
        <v>38.863010789999997</v>
      </c>
      <c r="L236">
        <v>235.6268857</v>
      </c>
      <c r="M236">
        <v>17.8859937</v>
      </c>
      <c r="N236">
        <v>2.5126206440000001</v>
      </c>
      <c r="O236">
        <v>-2.5649650000000002E-3</v>
      </c>
      <c r="P236">
        <v>0.162140694</v>
      </c>
      <c r="Q236" t="s">
        <v>19</v>
      </c>
      <c r="R236" t="s">
        <v>21</v>
      </c>
      <c r="S236">
        <f>IF(R236="粉砂质泥岩",0,IF(R236="暗色泥岩",1,IF(R236="非均质砂岩",2,IF(R236="均质砂岩",3,IF(R236="黑色页岩",4,IF(R236="凝灰岩",5,""))))))</f>
        <v>2</v>
      </c>
    </row>
    <row r="237" spans="1:19" x14ac:dyDescent="0.2">
      <c r="A237" t="s">
        <v>32</v>
      </c>
      <c r="B237">
        <v>1548.0309</v>
      </c>
      <c r="C237">
        <v>1549.1314</v>
      </c>
      <c r="D237">
        <v>60.296171569999998</v>
      </c>
      <c r="E237">
        <v>3.0354103569999999</v>
      </c>
      <c r="F237">
        <v>144.4610443</v>
      </c>
      <c r="G237">
        <v>35.683930590000003</v>
      </c>
      <c r="H237">
        <v>31.45611229</v>
      </c>
      <c r="I237">
        <v>29.13922462</v>
      </c>
      <c r="J237">
        <v>31.407090190000002</v>
      </c>
      <c r="K237">
        <v>32.709372520000002</v>
      </c>
      <c r="L237">
        <v>263.89437709999999</v>
      </c>
      <c r="M237">
        <v>24.321810719999998</v>
      </c>
      <c r="N237">
        <v>2.562399197</v>
      </c>
      <c r="O237">
        <v>-0.19214355999999999</v>
      </c>
      <c r="P237">
        <v>0.472305219</v>
      </c>
      <c r="Q237" t="s">
        <v>19</v>
      </c>
      <c r="R237" t="s">
        <v>20</v>
      </c>
      <c r="S237">
        <f>IF(R237="粉砂质泥岩",0,IF(R237="暗色泥岩",1,IF(R237="非均质砂岩",2,IF(R237="均质砂岩",3,IF(R237="黑色页岩",4,IF(R237="凝灰岩",5,""))))))</f>
        <v>1</v>
      </c>
    </row>
    <row r="238" spans="1:19" x14ac:dyDescent="0.2">
      <c r="A238" t="s">
        <v>32</v>
      </c>
      <c r="B238">
        <v>1549.1314</v>
      </c>
      <c r="C238">
        <v>1551.1635000000001</v>
      </c>
      <c r="D238">
        <v>61.68367722</v>
      </c>
      <c r="E238">
        <v>2.9026263879999998</v>
      </c>
      <c r="F238">
        <v>111.720056</v>
      </c>
      <c r="G238">
        <v>28.205500879999999</v>
      </c>
      <c r="H238">
        <v>25.922282160000002</v>
      </c>
      <c r="I238">
        <v>24.995984579999998</v>
      </c>
      <c r="J238">
        <v>26.309741079999998</v>
      </c>
      <c r="K238">
        <v>27.271969179999999</v>
      </c>
      <c r="L238">
        <v>245.82182850000001</v>
      </c>
      <c r="M238">
        <v>21.36699677</v>
      </c>
      <c r="N238">
        <v>2.609509482</v>
      </c>
      <c r="O238">
        <v>-0.13950062299999999</v>
      </c>
      <c r="P238">
        <v>0.308600282</v>
      </c>
      <c r="Q238" t="s">
        <v>19</v>
      </c>
      <c r="R238" t="s">
        <v>22</v>
      </c>
      <c r="S238">
        <f>IF(R238="粉砂质泥岩",0,IF(R238="暗色泥岩",1,IF(R238="非均质砂岩",2,IF(R238="均质砂岩",3,IF(R238="黑色页岩",4,IF(R238="凝灰岩",5,""))))))</f>
        <v>0</v>
      </c>
    </row>
    <row r="239" spans="1:19" x14ac:dyDescent="0.2">
      <c r="A239" t="s">
        <v>32</v>
      </c>
      <c r="B239">
        <v>1551.1635000000001</v>
      </c>
      <c r="C239">
        <v>1552.0934</v>
      </c>
      <c r="D239">
        <v>61.192288400000002</v>
      </c>
      <c r="E239">
        <v>2.8147613699999998</v>
      </c>
      <c r="F239">
        <v>91.545191759999994</v>
      </c>
      <c r="G239">
        <v>90.806109910000004</v>
      </c>
      <c r="H239">
        <v>51.151381970000003</v>
      </c>
      <c r="I239">
        <v>47.216555360000001</v>
      </c>
      <c r="J239">
        <v>50.735301730000003</v>
      </c>
      <c r="K239">
        <v>52.766035559999999</v>
      </c>
      <c r="L239">
        <v>241.33638759999999</v>
      </c>
      <c r="M239">
        <v>18.524449350000001</v>
      </c>
      <c r="N239">
        <v>2.5588647130000002</v>
      </c>
      <c r="O239">
        <v>-2.5125014000000001E-2</v>
      </c>
      <c r="P239">
        <v>0.20772595599999999</v>
      </c>
      <c r="Q239" t="s">
        <v>19</v>
      </c>
      <c r="R239" t="s">
        <v>21</v>
      </c>
      <c r="S239">
        <f>IF(R239="粉砂质泥岩",0,IF(R239="暗色泥岩",1,IF(R239="非均质砂岩",2,IF(R239="均质砂岩",3,IF(R239="黑色页岩",4,IF(R239="凝灰岩",5,""))))))</f>
        <v>2</v>
      </c>
    </row>
    <row r="240" spans="1:19" x14ac:dyDescent="0.2">
      <c r="A240" t="s">
        <v>32</v>
      </c>
      <c r="B240">
        <v>1552.0934</v>
      </c>
      <c r="C240">
        <v>1552.9840999999999</v>
      </c>
      <c r="D240">
        <v>61.628157620000003</v>
      </c>
      <c r="E240">
        <v>3.1150918299999999</v>
      </c>
      <c r="F240">
        <v>115.5293484</v>
      </c>
      <c r="G240">
        <v>46.082442999999998</v>
      </c>
      <c r="H240">
        <v>28.20910263</v>
      </c>
      <c r="I240">
        <v>27.789801839999999</v>
      </c>
      <c r="J240">
        <v>29.310816290000002</v>
      </c>
      <c r="K240">
        <v>30.56108618</v>
      </c>
      <c r="L240">
        <v>251.84552189999999</v>
      </c>
      <c r="M240">
        <v>22.63671613</v>
      </c>
      <c r="N240">
        <v>2.5819424390000001</v>
      </c>
      <c r="O240">
        <v>-4.1855679E-2</v>
      </c>
      <c r="P240">
        <v>0.32764673599999999</v>
      </c>
      <c r="Q240" t="s">
        <v>19</v>
      </c>
      <c r="R240" t="s">
        <v>22</v>
      </c>
      <c r="S240">
        <f>IF(R240="粉砂质泥岩",0,IF(R240="暗色泥岩",1,IF(R240="非均质砂岩",2,IF(R240="均质砂岩",3,IF(R240="黑色页岩",4,IF(R240="凝灰岩",5,""))))))</f>
        <v>0</v>
      </c>
    </row>
    <row r="241" spans="1:19" x14ac:dyDescent="0.2">
      <c r="A241" t="s">
        <v>32</v>
      </c>
      <c r="B241">
        <v>1552.9840999999999</v>
      </c>
      <c r="C241">
        <v>1553.9154000000001</v>
      </c>
      <c r="D241">
        <v>61.667521000000001</v>
      </c>
      <c r="E241">
        <v>2.884688556</v>
      </c>
      <c r="F241">
        <v>95.035675999999995</v>
      </c>
      <c r="G241">
        <v>85.563722609999999</v>
      </c>
      <c r="H241">
        <v>53.340119119999997</v>
      </c>
      <c r="I241">
        <v>50.892556190000001</v>
      </c>
      <c r="J241">
        <v>54.218153479999998</v>
      </c>
      <c r="K241">
        <v>56.49939775</v>
      </c>
      <c r="L241">
        <v>235.04162410000001</v>
      </c>
      <c r="M241">
        <v>17.083415630000001</v>
      </c>
      <c r="N241">
        <v>2.5721376239999998</v>
      </c>
      <c r="O241">
        <v>-2.4435243999999998E-2</v>
      </c>
      <c r="P241">
        <v>0.22517837600000001</v>
      </c>
      <c r="Q241" t="s">
        <v>19</v>
      </c>
      <c r="R241" t="s">
        <v>21</v>
      </c>
      <c r="S241">
        <f>IF(R241="粉砂质泥岩",0,IF(R241="暗色泥岩",1,IF(R241="非均质砂岩",2,IF(R241="均质砂岩",3,IF(R241="黑色页岩",4,IF(R241="凝灰岩",5,""))))))</f>
        <v>2</v>
      </c>
    </row>
    <row r="242" spans="1:19" x14ac:dyDescent="0.2">
      <c r="A242" t="s">
        <v>32</v>
      </c>
      <c r="B242">
        <v>1553.9154000000001</v>
      </c>
      <c r="C242">
        <v>1556.5836999999999</v>
      </c>
      <c r="D242">
        <v>62.842185280000002</v>
      </c>
      <c r="E242">
        <v>3.0986054379999999</v>
      </c>
      <c r="F242">
        <v>122.0262312</v>
      </c>
      <c r="G242">
        <v>30.05160132</v>
      </c>
      <c r="H242">
        <v>25.102658529999999</v>
      </c>
      <c r="I242">
        <v>23.84091308</v>
      </c>
      <c r="J242">
        <v>25.033178159999999</v>
      </c>
      <c r="K242">
        <v>25.728595389999999</v>
      </c>
      <c r="L242">
        <v>247.0469444</v>
      </c>
      <c r="M242">
        <v>23.327474509999998</v>
      </c>
      <c r="N242">
        <v>2.5916245739999999</v>
      </c>
      <c r="O242">
        <v>-0.15659540599999999</v>
      </c>
      <c r="P242">
        <v>0.36013115499999998</v>
      </c>
      <c r="Q242" t="s">
        <v>19</v>
      </c>
      <c r="R242" t="s">
        <v>22</v>
      </c>
      <c r="S242">
        <f>IF(R242="粉砂质泥岩",0,IF(R242="暗色泥岩",1,IF(R242="非均质砂岩",2,IF(R242="均质砂岩",3,IF(R242="黑色页岩",4,IF(R242="凝灰岩",5,""))))))</f>
        <v>0</v>
      </c>
    </row>
    <row r="243" spans="1:19" x14ac:dyDescent="0.2">
      <c r="A243" t="s">
        <v>32</v>
      </c>
      <c r="B243">
        <v>1556.5836999999999</v>
      </c>
      <c r="C243">
        <v>1558.1077</v>
      </c>
      <c r="D243">
        <v>62.189022059999999</v>
      </c>
      <c r="E243">
        <v>3.4410029010000001</v>
      </c>
      <c r="F243">
        <v>286.89790340000002</v>
      </c>
      <c r="G243">
        <v>22.877596560000001</v>
      </c>
      <c r="H243">
        <v>19.860791500000001</v>
      </c>
      <c r="I243">
        <v>19.31447279</v>
      </c>
      <c r="J243">
        <v>20.540729299999999</v>
      </c>
      <c r="K243">
        <v>21.296278439999998</v>
      </c>
      <c r="L243">
        <v>317.2637024</v>
      </c>
      <c r="M243">
        <v>33.60119512</v>
      </c>
      <c r="N243">
        <v>2.397850697</v>
      </c>
      <c r="O243">
        <v>-0.255671015</v>
      </c>
      <c r="P243">
        <v>1.1844895120000001</v>
      </c>
      <c r="Q243" t="s">
        <v>19</v>
      </c>
      <c r="R243" t="s">
        <v>20</v>
      </c>
      <c r="S243">
        <f>IF(R243="粉砂质泥岩",0,IF(R243="暗色泥岩",1,IF(R243="非均质砂岩",2,IF(R243="均质砂岩",3,IF(R243="黑色页岩",4,IF(R243="凝灰岩",5,""))))))</f>
        <v>1</v>
      </c>
    </row>
    <row r="244" spans="1:19" x14ac:dyDescent="0.2">
      <c r="A244" t="s">
        <v>32</v>
      </c>
      <c r="B244">
        <v>1558.1483000000001</v>
      </c>
      <c r="C244">
        <v>1559.5876000000001</v>
      </c>
      <c r="D244">
        <v>60.52411798</v>
      </c>
      <c r="E244">
        <v>2.8763950600000001</v>
      </c>
      <c r="F244">
        <v>122.0812225</v>
      </c>
      <c r="G244">
        <v>39.575554920000002</v>
      </c>
      <c r="H244">
        <v>29.063365940000001</v>
      </c>
      <c r="I244">
        <v>28.848783489999999</v>
      </c>
      <c r="J244">
        <v>30.272913129999999</v>
      </c>
      <c r="K244">
        <v>31.92657852</v>
      </c>
      <c r="L244">
        <v>240.01297349999999</v>
      </c>
      <c r="M244">
        <v>18.117036089999999</v>
      </c>
      <c r="N244">
        <v>2.5604587150000002</v>
      </c>
      <c r="O244">
        <v>-0.135980873</v>
      </c>
      <c r="P244">
        <v>0.360406112</v>
      </c>
      <c r="Q244" t="s">
        <v>19</v>
      </c>
      <c r="R244" t="s">
        <v>22</v>
      </c>
      <c r="S244">
        <f>IF(R244="粉砂质泥岩",0,IF(R244="暗色泥岩",1,IF(R244="非均质砂岩",2,IF(R244="均质砂岩",3,IF(R244="黑色页岩",4,IF(R244="凝灰岩",5,""))))))</f>
        <v>0</v>
      </c>
    </row>
    <row r="245" spans="1:19" x14ac:dyDescent="0.2">
      <c r="A245" t="s">
        <v>32</v>
      </c>
      <c r="B245">
        <v>1559.5876000000001</v>
      </c>
      <c r="C245">
        <v>1566.4448</v>
      </c>
      <c r="D245">
        <v>53.629577570000002</v>
      </c>
      <c r="E245">
        <v>2.7595566429999998</v>
      </c>
      <c r="F245">
        <v>91.180424830000007</v>
      </c>
      <c r="G245">
        <v>33.407501660000001</v>
      </c>
      <c r="H245">
        <v>29.279124670000002</v>
      </c>
      <c r="I245">
        <v>27.97274307</v>
      </c>
      <c r="J245">
        <v>29.581267830000002</v>
      </c>
      <c r="K245">
        <v>30.582934479999999</v>
      </c>
      <c r="L245">
        <v>235.9378232</v>
      </c>
      <c r="M245">
        <v>16.98835777</v>
      </c>
      <c r="N245">
        <v>2.5259524290000002</v>
      </c>
      <c r="O245">
        <v>-2.3088127999999999E-2</v>
      </c>
      <c r="P245">
        <v>0.20590212399999999</v>
      </c>
      <c r="Q245" t="s">
        <v>19</v>
      </c>
      <c r="R245" t="s">
        <v>21</v>
      </c>
      <c r="S245">
        <f>IF(R245="粉砂质泥岩",0,IF(R245="暗色泥岩",1,IF(R245="非均质砂岩",2,IF(R245="均质砂岩",3,IF(R245="黑色页岩",4,IF(R245="凝灰岩",5,""))))))</f>
        <v>2</v>
      </c>
    </row>
    <row r="246" spans="1:19" x14ac:dyDescent="0.2">
      <c r="A246" t="s">
        <v>32</v>
      </c>
      <c r="B246">
        <v>1566.4448</v>
      </c>
      <c r="C246">
        <v>1569.5350000000001</v>
      </c>
      <c r="D246">
        <v>60.184365049999997</v>
      </c>
      <c r="E246">
        <v>2.877639523</v>
      </c>
      <c r="F246">
        <v>105.4938255</v>
      </c>
      <c r="G246">
        <v>26.084589520000002</v>
      </c>
      <c r="H246">
        <v>24.57226893</v>
      </c>
      <c r="I246">
        <v>22.92114742</v>
      </c>
      <c r="J246">
        <v>23.53065381</v>
      </c>
      <c r="K246">
        <v>23.89236017</v>
      </c>
      <c r="L246">
        <v>224.7061726</v>
      </c>
      <c r="M246">
        <v>17.008394460000002</v>
      </c>
      <c r="N246">
        <v>2.6127962880000002</v>
      </c>
      <c r="O246">
        <v>-7.0761072999999994E-2</v>
      </c>
      <c r="P246">
        <v>0.27746912899999998</v>
      </c>
      <c r="Q246" t="s">
        <v>19</v>
      </c>
      <c r="R246" t="s">
        <v>22</v>
      </c>
      <c r="S246">
        <f>IF(R246="粉砂质泥岩",0,IF(R246="暗色泥岩",1,IF(R246="非均质砂岩",2,IF(R246="均质砂岩",3,IF(R246="黑色页岩",4,IF(R246="凝灰岩",5,""))))))</f>
        <v>0</v>
      </c>
    </row>
    <row r="247" spans="1:19" x14ac:dyDescent="0.2">
      <c r="A247" t="s">
        <v>32</v>
      </c>
      <c r="B247">
        <v>1569.5350000000001</v>
      </c>
      <c r="C247">
        <v>1570.6367</v>
      </c>
      <c r="D247">
        <v>61.082436370000003</v>
      </c>
      <c r="E247">
        <v>3.1943924429999999</v>
      </c>
      <c r="F247">
        <v>78.605301670000003</v>
      </c>
      <c r="G247">
        <v>52.780440900000002</v>
      </c>
      <c r="H247">
        <v>46.68850174</v>
      </c>
      <c r="I247">
        <v>38.357015990000001</v>
      </c>
      <c r="J247">
        <v>38.015382389999999</v>
      </c>
      <c r="K247">
        <v>34.921433829999998</v>
      </c>
      <c r="L247">
        <v>195.8744614</v>
      </c>
      <c r="M247">
        <v>13.207188990000001</v>
      </c>
      <c r="N247">
        <v>2.67434423</v>
      </c>
      <c r="O247">
        <v>2.2643176000000001E-2</v>
      </c>
      <c r="P247">
        <v>0.143026509</v>
      </c>
      <c r="Q247" t="s">
        <v>19</v>
      </c>
      <c r="R247" t="s">
        <v>21</v>
      </c>
      <c r="S247">
        <f>IF(R247="粉砂质泥岩",0,IF(R247="暗色泥岩",1,IF(R247="非均质砂岩",2,IF(R247="均质砂岩",3,IF(R247="黑色页岩",4,IF(R247="凝灰岩",5,""))))))</f>
        <v>2</v>
      </c>
    </row>
    <row r="248" spans="1:19" x14ac:dyDescent="0.2">
      <c r="A248" t="s">
        <v>32</v>
      </c>
      <c r="B248">
        <v>1570.6367</v>
      </c>
      <c r="C248">
        <v>1573.2193</v>
      </c>
      <c r="D248">
        <v>62.276015020000003</v>
      </c>
      <c r="E248">
        <v>2.8916027980000001</v>
      </c>
      <c r="F248">
        <v>104.4231248</v>
      </c>
      <c r="G248">
        <v>25.92325245</v>
      </c>
      <c r="H248">
        <v>22.773443180000001</v>
      </c>
      <c r="I248">
        <v>21.236225260000001</v>
      </c>
      <c r="J248">
        <v>21.57719994</v>
      </c>
      <c r="K248">
        <v>21.429497550000001</v>
      </c>
      <c r="L248">
        <v>219.52137690000001</v>
      </c>
      <c r="M248">
        <v>16.463895229999999</v>
      </c>
      <c r="N248">
        <v>2.6068272920000002</v>
      </c>
      <c r="O248">
        <v>-6.1147689999999998E-2</v>
      </c>
      <c r="P248">
        <v>0.272115624</v>
      </c>
      <c r="Q248" t="s">
        <v>19</v>
      </c>
      <c r="R248" t="s">
        <v>22</v>
      </c>
      <c r="S248">
        <f>IF(R248="粉砂质泥岩",0,IF(R248="暗色泥岩",1,IF(R248="非均质砂岩",2,IF(R248="均质砂岩",3,IF(R248="黑色页岩",4,IF(R248="凝灰岩",5,""))))))</f>
        <v>0</v>
      </c>
    </row>
    <row r="249" spans="1:19" x14ac:dyDescent="0.2">
      <c r="A249" t="s">
        <v>32</v>
      </c>
      <c r="B249">
        <v>1573.2193</v>
      </c>
      <c r="C249">
        <v>1575.5050000000001</v>
      </c>
      <c r="D249">
        <v>61.826268450000001</v>
      </c>
      <c r="E249">
        <v>2.7586369259999999</v>
      </c>
      <c r="F249">
        <v>191.87831439999999</v>
      </c>
      <c r="G249">
        <v>16.65059024</v>
      </c>
      <c r="H249">
        <v>14.42436434</v>
      </c>
      <c r="I249">
        <v>14.350595419999999</v>
      </c>
      <c r="J249">
        <v>14.949547470000001</v>
      </c>
      <c r="K249">
        <v>15.258142919999999</v>
      </c>
      <c r="L249">
        <v>274.01900599999999</v>
      </c>
      <c r="M249">
        <v>24.750102999999999</v>
      </c>
      <c r="N249">
        <v>2.465369162</v>
      </c>
      <c r="O249">
        <v>-0.23742838599999999</v>
      </c>
      <c r="P249">
        <v>0.70939156999999997</v>
      </c>
      <c r="Q249" t="s">
        <v>19</v>
      </c>
      <c r="R249" t="s">
        <v>20</v>
      </c>
      <c r="S249">
        <f>IF(R249="粉砂质泥岩",0,IF(R249="暗色泥岩",1,IF(R249="非均质砂岩",2,IF(R249="均质砂岩",3,IF(R249="黑色页岩",4,IF(R249="凝灰岩",5,""))))))</f>
        <v>1</v>
      </c>
    </row>
    <row r="250" spans="1:19" x14ac:dyDescent="0.2">
      <c r="A250" t="s">
        <v>32</v>
      </c>
      <c r="B250">
        <v>1575.547</v>
      </c>
      <c r="C250">
        <v>1582.9128000000001</v>
      </c>
      <c r="D250">
        <v>55.927546059999997</v>
      </c>
      <c r="E250">
        <v>2.9491268599999998</v>
      </c>
      <c r="F250">
        <v>96.428554030000001</v>
      </c>
      <c r="G250">
        <v>44.268421400000001</v>
      </c>
      <c r="H250">
        <v>35.150909300000002</v>
      </c>
      <c r="I250">
        <v>33.419440809999998</v>
      </c>
      <c r="J250">
        <v>35.244609449999999</v>
      </c>
      <c r="K250">
        <v>36.285307529999997</v>
      </c>
      <c r="L250">
        <v>230.53650390000001</v>
      </c>
      <c r="M250">
        <v>16.132816300000002</v>
      </c>
      <c r="N250">
        <v>2.5713198460000002</v>
      </c>
      <c r="O250">
        <v>-2.9815927999999998E-2</v>
      </c>
      <c r="P250">
        <v>0.232142772</v>
      </c>
      <c r="Q250" t="s">
        <v>19</v>
      </c>
      <c r="R250" t="s">
        <v>21</v>
      </c>
      <c r="S250">
        <f>IF(R250="粉砂质泥岩",0,IF(R250="暗色泥岩",1,IF(R250="非均质砂岩",2,IF(R250="均质砂岩",3,IF(R250="黑色页岩",4,IF(R250="凝灰岩",5,""))))))</f>
        <v>2</v>
      </c>
    </row>
    <row r="251" spans="1:19" x14ac:dyDescent="0.2">
      <c r="A251" t="s">
        <v>32</v>
      </c>
      <c r="B251">
        <v>1582.9128000000001</v>
      </c>
      <c r="C251">
        <v>1583.6324999999999</v>
      </c>
      <c r="D251">
        <v>53.24879456</v>
      </c>
      <c r="E251">
        <v>2.840711389</v>
      </c>
      <c r="F251">
        <v>101.2851541</v>
      </c>
      <c r="G251">
        <v>26.966453009999999</v>
      </c>
      <c r="H251">
        <v>24.764098300000001</v>
      </c>
      <c r="I251">
        <v>23.495968139999999</v>
      </c>
      <c r="J251">
        <v>24.79395349</v>
      </c>
      <c r="K251">
        <v>25.5268522</v>
      </c>
      <c r="L251">
        <v>234.9198063</v>
      </c>
      <c r="M251">
        <v>18.402027400000001</v>
      </c>
      <c r="N251">
        <v>2.5730316979999999</v>
      </c>
      <c r="O251">
        <v>-5.7405064999999998E-2</v>
      </c>
      <c r="P251">
        <v>0.256425766</v>
      </c>
      <c r="Q251" t="s">
        <v>19</v>
      </c>
      <c r="R251" t="s">
        <v>22</v>
      </c>
      <c r="S251">
        <f>IF(R251="粉砂质泥岩",0,IF(R251="暗色泥岩",1,IF(R251="非均质砂岩",2,IF(R251="均质砂岩",3,IF(R251="黑色页岩",4,IF(R251="凝灰岩",5,""))))))</f>
        <v>0</v>
      </c>
    </row>
    <row r="252" spans="1:19" x14ac:dyDescent="0.2">
      <c r="A252" t="s">
        <v>32</v>
      </c>
      <c r="B252">
        <v>1583.6324999999999</v>
      </c>
      <c r="C252">
        <v>1585.7914000000001</v>
      </c>
      <c r="D252">
        <v>51.816724989999997</v>
      </c>
      <c r="E252">
        <v>2.6882102620000001</v>
      </c>
      <c r="F252">
        <v>84.231508469999994</v>
      </c>
      <c r="G252">
        <v>61.211332220000003</v>
      </c>
      <c r="H252">
        <v>47.019525209999998</v>
      </c>
      <c r="I252">
        <v>43.022135310000003</v>
      </c>
      <c r="J252">
        <v>45.973031470000002</v>
      </c>
      <c r="K252">
        <v>47.262497689999996</v>
      </c>
      <c r="L252">
        <v>236.39361400000001</v>
      </c>
      <c r="M252">
        <v>15.82572073</v>
      </c>
      <c r="N252">
        <v>2.5158299739999999</v>
      </c>
      <c r="O252">
        <v>-2.9057335E-2</v>
      </c>
      <c r="P252">
        <v>0.171157541</v>
      </c>
      <c r="Q252" t="s">
        <v>19</v>
      </c>
      <c r="R252" t="s">
        <v>21</v>
      </c>
      <c r="S252">
        <f>IF(R252="粉砂质泥岩",0,IF(R252="暗色泥岩",1,IF(R252="非均质砂岩",2,IF(R252="均质砂岩",3,IF(R252="黑色页岩",4,IF(R252="凝灰岩",5,""))))))</f>
        <v>2</v>
      </c>
    </row>
    <row r="253" spans="1:19" x14ac:dyDescent="0.2">
      <c r="A253" t="s">
        <v>32</v>
      </c>
      <c r="B253">
        <v>1585.7914000000001</v>
      </c>
      <c r="C253">
        <v>1591.21</v>
      </c>
      <c r="D253">
        <v>59.770565470000001</v>
      </c>
      <c r="E253">
        <v>2.95992071</v>
      </c>
      <c r="F253">
        <v>102.0947177</v>
      </c>
      <c r="G253">
        <v>35.804417000000001</v>
      </c>
      <c r="H253">
        <v>30.300512359999999</v>
      </c>
      <c r="I253">
        <v>28.472242309999999</v>
      </c>
      <c r="J253">
        <v>29.921383989999999</v>
      </c>
      <c r="K253">
        <v>30.706693690000002</v>
      </c>
      <c r="L253">
        <v>232.4251591</v>
      </c>
      <c r="M253">
        <v>15.42109065</v>
      </c>
      <c r="N253">
        <v>2.6049546549999998</v>
      </c>
      <c r="O253">
        <v>-9.2097638999999995E-2</v>
      </c>
      <c r="P253">
        <v>0.26047358799999998</v>
      </c>
      <c r="Q253" t="s">
        <v>19</v>
      </c>
      <c r="R253" t="s">
        <v>22</v>
      </c>
      <c r="S253">
        <f>IF(R253="粉砂质泥岩",0,IF(R253="暗色泥岩",1,IF(R253="非均质砂岩",2,IF(R253="均质砂岩",3,IF(R253="黑色页岩",4,IF(R253="凝灰岩",5,""))))))</f>
        <v>0</v>
      </c>
    </row>
    <row r="254" spans="1:19" x14ac:dyDescent="0.2">
      <c r="A254" t="s">
        <v>32</v>
      </c>
      <c r="B254">
        <v>1591.2526</v>
      </c>
      <c r="C254">
        <v>1594.0465999999999</v>
      </c>
      <c r="D254">
        <v>55.301925490000002</v>
      </c>
      <c r="E254">
        <v>2.6436937789999999</v>
      </c>
      <c r="F254">
        <v>91.849638229999996</v>
      </c>
      <c r="G254">
        <v>37.958333799999998</v>
      </c>
      <c r="H254">
        <v>32.969363420000001</v>
      </c>
      <c r="I254">
        <v>30.578746630000001</v>
      </c>
      <c r="J254">
        <v>32.376290859999997</v>
      </c>
      <c r="K254">
        <v>33.158413430000003</v>
      </c>
      <c r="L254">
        <v>236.17412400000001</v>
      </c>
      <c r="M254">
        <v>15.52752495</v>
      </c>
      <c r="N254">
        <v>2.5287365500000001</v>
      </c>
      <c r="O254">
        <v>-3.9735647999999998E-2</v>
      </c>
      <c r="P254">
        <v>0.209248194</v>
      </c>
      <c r="Q254" t="s">
        <v>19</v>
      </c>
      <c r="R254" t="s">
        <v>21</v>
      </c>
      <c r="S254">
        <f>IF(R254="粉砂质泥岩",0,IF(R254="暗色泥岩",1,IF(R254="非均质砂岩",2,IF(R254="均质砂岩",3,IF(R254="黑色页岩",4,IF(R254="凝灰岩",5,""))))))</f>
        <v>2</v>
      </c>
    </row>
    <row r="255" spans="1:19" x14ac:dyDescent="0.2">
      <c r="A255" t="s">
        <v>32</v>
      </c>
      <c r="B255">
        <v>1594.0886</v>
      </c>
      <c r="C255">
        <v>1595.1469</v>
      </c>
      <c r="D255">
        <v>57.887504999999997</v>
      </c>
      <c r="E255">
        <v>2.7769536179999998</v>
      </c>
      <c r="F255">
        <v>104.08864509999999</v>
      </c>
      <c r="G255">
        <v>28.8864816</v>
      </c>
      <c r="H255">
        <v>26.061642750000001</v>
      </c>
      <c r="I255">
        <v>24.304247749999998</v>
      </c>
      <c r="J255">
        <v>25.732547969999999</v>
      </c>
      <c r="K255">
        <v>26.377844280000001</v>
      </c>
      <c r="L255">
        <v>231.93723550000001</v>
      </c>
      <c r="M255">
        <v>16.77193801</v>
      </c>
      <c r="N255">
        <v>2.5836540330000002</v>
      </c>
      <c r="O255">
        <v>-8.1156663000000004E-2</v>
      </c>
      <c r="P255">
        <v>0.27044322599999998</v>
      </c>
      <c r="Q255" t="s">
        <v>19</v>
      </c>
      <c r="R255" t="s">
        <v>22</v>
      </c>
      <c r="S255">
        <f>IF(R255="粉砂质泥岩",0,IF(R255="暗色泥岩",1,IF(R255="非均质砂岩",2,IF(R255="均质砂岩",3,IF(R255="黑色页岩",4,IF(R255="凝灰岩",5,""))))))</f>
        <v>0</v>
      </c>
    </row>
    <row r="256" spans="1:19" x14ac:dyDescent="0.2">
      <c r="A256" t="s">
        <v>32</v>
      </c>
      <c r="B256">
        <v>1595.1469</v>
      </c>
      <c r="C256">
        <v>1596.0781999999999</v>
      </c>
      <c r="D256">
        <v>58.79184961</v>
      </c>
      <c r="E256">
        <v>2.5716228189999999</v>
      </c>
      <c r="F256">
        <v>84.679907799999995</v>
      </c>
      <c r="G256">
        <v>48.467539789999996</v>
      </c>
      <c r="H256">
        <v>37.969850780000002</v>
      </c>
      <c r="I256">
        <v>34.620425699999998</v>
      </c>
      <c r="J256">
        <v>37.156007529999997</v>
      </c>
      <c r="K256">
        <v>38.155914549999999</v>
      </c>
      <c r="L256">
        <v>231.77082630000001</v>
      </c>
      <c r="M256">
        <v>15.67535973</v>
      </c>
      <c r="N256">
        <v>2.535164118</v>
      </c>
      <c r="O256">
        <v>-1.5777942999999999E-2</v>
      </c>
      <c r="P256">
        <v>0.17339954199999999</v>
      </c>
      <c r="Q256" t="s">
        <v>19</v>
      </c>
      <c r="R256" t="s">
        <v>23</v>
      </c>
      <c r="S256">
        <f>IF(R256="粉砂质泥岩",0,IF(R256="暗色泥岩",1,IF(R256="非均质砂岩",2,IF(R256="均质砂岩",3,IF(R256="黑色页岩",4,IF(R256="凝灰岩",5,""))))))</f>
        <v>3</v>
      </c>
    </row>
    <row r="257" spans="1:19" x14ac:dyDescent="0.2">
      <c r="A257" t="s">
        <v>32</v>
      </c>
      <c r="B257">
        <v>1596.0781999999999</v>
      </c>
      <c r="C257">
        <v>1598.7028</v>
      </c>
      <c r="D257">
        <v>60.583480139999999</v>
      </c>
      <c r="E257">
        <v>2.8497077769999999</v>
      </c>
      <c r="F257">
        <v>109.17895439999999</v>
      </c>
      <c r="G257">
        <v>28.363927579999999</v>
      </c>
      <c r="H257">
        <v>25.837498320000002</v>
      </c>
      <c r="I257">
        <v>24.513101580000001</v>
      </c>
      <c r="J257">
        <v>25.419738679999998</v>
      </c>
      <c r="K257">
        <v>25.77877587</v>
      </c>
      <c r="L257">
        <v>232.01490229999999</v>
      </c>
      <c r="M257">
        <v>16.89421376</v>
      </c>
      <c r="N257">
        <v>2.6126600180000001</v>
      </c>
      <c r="O257">
        <v>-9.2284848000000003E-2</v>
      </c>
      <c r="P257">
        <v>0.29589477199999997</v>
      </c>
      <c r="Q257" t="s">
        <v>19</v>
      </c>
      <c r="R257" t="s">
        <v>22</v>
      </c>
      <c r="S257">
        <f>IF(R257="粉砂质泥岩",0,IF(R257="暗色泥岩",1,IF(R257="非均质砂岩",2,IF(R257="均质砂岩",3,IF(R257="黑色页岩",4,IF(R257="凝灰岩",5,""))))))</f>
        <v>0</v>
      </c>
    </row>
    <row r="258" spans="1:19" x14ac:dyDescent="0.2">
      <c r="A258" t="s">
        <v>32</v>
      </c>
      <c r="B258">
        <v>1598.7028</v>
      </c>
      <c r="C258">
        <v>1601.0311999999999</v>
      </c>
      <c r="D258">
        <v>57.182387159999998</v>
      </c>
      <c r="E258">
        <v>2.8875034209999999</v>
      </c>
      <c r="F258">
        <v>99.226605609999993</v>
      </c>
      <c r="G258">
        <v>53.614420410000001</v>
      </c>
      <c r="H258">
        <v>40.988034630000001</v>
      </c>
      <c r="I258">
        <v>38.704869080000002</v>
      </c>
      <c r="J258">
        <v>40.956513979999997</v>
      </c>
      <c r="K258">
        <v>42.157920930000003</v>
      </c>
      <c r="L258">
        <v>230.04035110000001</v>
      </c>
      <c r="M258">
        <v>14.735160349999999</v>
      </c>
      <c r="N258">
        <v>2.587228858</v>
      </c>
      <c r="O258">
        <v>-5.4594723999999997E-2</v>
      </c>
      <c r="P258">
        <v>0.246133028</v>
      </c>
      <c r="Q258" t="s">
        <v>19</v>
      </c>
      <c r="R258" t="s">
        <v>21</v>
      </c>
      <c r="S258">
        <f>IF(R258="粉砂质泥岩",0,IF(R258="暗色泥岩",1,IF(R258="非均质砂岩",2,IF(R258="均质砂岩",3,IF(R258="黑色页岩",4,IF(R258="凝灰岩",5,""))))))</f>
        <v>2</v>
      </c>
    </row>
    <row r="259" spans="1:19" x14ac:dyDescent="0.2">
      <c r="A259" t="s">
        <v>32</v>
      </c>
      <c r="B259">
        <v>1601.0311999999999</v>
      </c>
      <c r="C259">
        <v>1604.3755000000001</v>
      </c>
      <c r="D259">
        <v>61.41941997</v>
      </c>
      <c r="E259">
        <v>2.9404639349999999</v>
      </c>
      <c r="F259">
        <v>111.78923690000001</v>
      </c>
      <c r="G259">
        <v>39.28648295</v>
      </c>
      <c r="H259">
        <v>32.670472619999998</v>
      </c>
      <c r="I259">
        <v>30.70519693</v>
      </c>
      <c r="J259">
        <v>32.350508830000003</v>
      </c>
      <c r="K259">
        <v>33.142156059999998</v>
      </c>
      <c r="L259">
        <v>232.9892562</v>
      </c>
      <c r="M259">
        <v>18.62443468</v>
      </c>
      <c r="N259">
        <v>2.6029041149999999</v>
      </c>
      <c r="O259">
        <v>-8.8595455000000004E-2</v>
      </c>
      <c r="P259">
        <v>0.30894618499999998</v>
      </c>
      <c r="Q259" t="s">
        <v>19</v>
      </c>
      <c r="R259" t="s">
        <v>22</v>
      </c>
      <c r="S259">
        <f>IF(R259="粉砂质泥岩",0,IF(R259="暗色泥岩",1,IF(R259="非均质砂岩",2,IF(R259="均质砂岩",3,IF(R259="黑色页岩",4,IF(R259="凝灰岩",5,""))))))</f>
        <v>0</v>
      </c>
    </row>
    <row r="260" spans="1:19" x14ac:dyDescent="0.2">
      <c r="A260" t="s">
        <v>32</v>
      </c>
      <c r="B260">
        <v>1604.3755000000001</v>
      </c>
      <c r="C260">
        <v>1608.1850999999999</v>
      </c>
      <c r="D260">
        <v>62.798816309999999</v>
      </c>
      <c r="E260">
        <v>2.9032593310000001</v>
      </c>
      <c r="F260">
        <v>168.97743940000001</v>
      </c>
      <c r="G260">
        <v>38.286471149999997</v>
      </c>
      <c r="H260">
        <v>31.091964170000001</v>
      </c>
      <c r="I260">
        <v>30.710705600000001</v>
      </c>
      <c r="J260">
        <v>32.319462680000001</v>
      </c>
      <c r="K260">
        <v>33.791898539999998</v>
      </c>
      <c r="L260">
        <v>262.13384669999999</v>
      </c>
      <c r="M260">
        <v>22.779052</v>
      </c>
      <c r="N260">
        <v>2.509409282</v>
      </c>
      <c r="O260">
        <v>-0.228608055</v>
      </c>
      <c r="P260">
        <v>0.59488719400000001</v>
      </c>
      <c r="Q260" t="s">
        <v>19</v>
      </c>
      <c r="R260" t="s">
        <v>20</v>
      </c>
      <c r="S260">
        <f>IF(R260="粉砂质泥岩",0,IF(R260="暗色泥岩",1,IF(R260="非均质砂岩",2,IF(R260="均质砂岩",3,IF(R260="黑色页岩",4,IF(R260="凝灰岩",5,""))))))</f>
        <v>1</v>
      </c>
    </row>
    <row r="261" spans="1:19" x14ac:dyDescent="0.2">
      <c r="A261" t="s">
        <v>32</v>
      </c>
      <c r="B261">
        <v>1608.1850999999999</v>
      </c>
      <c r="C261">
        <v>1609.7945</v>
      </c>
      <c r="D261">
        <v>62.995360239999997</v>
      </c>
      <c r="E261">
        <v>2.9005176339999998</v>
      </c>
      <c r="F261">
        <v>108.08665190000001</v>
      </c>
      <c r="G261">
        <v>76.392215460000003</v>
      </c>
      <c r="H261">
        <v>59.638336320000001</v>
      </c>
      <c r="I261">
        <v>52.962899620000002</v>
      </c>
      <c r="J261">
        <v>57.143118039999997</v>
      </c>
      <c r="K261">
        <v>59.104932239999997</v>
      </c>
      <c r="L261">
        <v>229.91669899999999</v>
      </c>
      <c r="M261">
        <v>17.17577314</v>
      </c>
      <c r="N261">
        <v>2.555775659</v>
      </c>
      <c r="O261">
        <v>-1.713816E-2</v>
      </c>
      <c r="P261">
        <v>0.290433257</v>
      </c>
      <c r="Q261" t="s">
        <v>19</v>
      </c>
      <c r="R261" t="s">
        <v>21</v>
      </c>
      <c r="S261">
        <f>IF(R261="粉砂质泥岩",0,IF(R261="暗色泥岩",1,IF(R261="非均质砂岩",2,IF(R261="均质砂岩",3,IF(R261="黑色页岩",4,IF(R261="凝灰岩",5,""))))))</f>
        <v>2</v>
      </c>
    </row>
    <row r="262" spans="1:19" x14ac:dyDescent="0.2">
      <c r="A262" t="s">
        <v>32</v>
      </c>
      <c r="B262">
        <v>1609.7945</v>
      </c>
      <c r="C262">
        <v>1610.6421</v>
      </c>
      <c r="D262">
        <v>62.685965060000001</v>
      </c>
      <c r="E262">
        <v>2.7961817679999998</v>
      </c>
      <c r="F262">
        <v>130.54309459999999</v>
      </c>
      <c r="G262">
        <v>61.655576709999998</v>
      </c>
      <c r="H262">
        <v>52.44111109</v>
      </c>
      <c r="I262">
        <v>47.397510050000001</v>
      </c>
      <c r="J262">
        <v>49.016682619999997</v>
      </c>
      <c r="K262">
        <v>48.935718059999999</v>
      </c>
      <c r="L262">
        <v>234.13875010000001</v>
      </c>
      <c r="M262">
        <v>17.9561727</v>
      </c>
      <c r="N262">
        <v>2.5986342730000001</v>
      </c>
      <c r="O262">
        <v>-9.7690478999999997E-2</v>
      </c>
      <c r="P262">
        <v>0.40271547099999999</v>
      </c>
      <c r="Q262" t="s">
        <v>19</v>
      </c>
      <c r="R262" t="s">
        <v>22</v>
      </c>
      <c r="S262">
        <f>IF(R262="粉砂质泥岩",0,IF(R262="暗色泥岩",1,IF(R262="非均质砂岩",2,IF(R262="均质砂岩",3,IF(R262="黑色页岩",4,IF(R262="凝灰岩",5,""))))))</f>
        <v>0</v>
      </c>
    </row>
    <row r="263" spans="1:19" x14ac:dyDescent="0.2">
      <c r="A263" t="s">
        <v>32</v>
      </c>
      <c r="B263">
        <v>1610.6421</v>
      </c>
      <c r="C263">
        <v>1611.3187</v>
      </c>
      <c r="D263">
        <v>62.307190579999997</v>
      </c>
      <c r="E263">
        <v>2.9553685590000001</v>
      </c>
      <c r="F263">
        <v>170.68181100000001</v>
      </c>
      <c r="G263">
        <v>30.769405679999998</v>
      </c>
      <c r="H263">
        <v>28.42832216</v>
      </c>
      <c r="I263">
        <v>26.187837600000002</v>
      </c>
      <c r="J263">
        <v>27.398975369999999</v>
      </c>
      <c r="K263">
        <v>28.061315220000001</v>
      </c>
      <c r="L263">
        <v>255.20778910000001</v>
      </c>
      <c r="M263">
        <v>21.604675610000001</v>
      </c>
      <c r="N263">
        <v>2.5398515069999998</v>
      </c>
      <c r="O263">
        <v>-0.22844831099999999</v>
      </c>
      <c r="P263">
        <v>0.603409062</v>
      </c>
      <c r="Q263" t="s">
        <v>19</v>
      </c>
      <c r="R263" t="s">
        <v>20</v>
      </c>
      <c r="S263">
        <f>IF(R263="粉砂质泥岩",0,IF(R263="暗色泥岩",1,IF(R263="非均质砂岩",2,IF(R263="均质砂岩",3,IF(R263="黑色页岩",4,IF(R263="凝灰岩",5,""))))))</f>
        <v>1</v>
      </c>
    </row>
    <row r="264" spans="1:19" x14ac:dyDescent="0.2">
      <c r="A264" t="s">
        <v>32</v>
      </c>
      <c r="B264">
        <v>1611.3187</v>
      </c>
      <c r="C264">
        <v>1616.0175999999999</v>
      </c>
      <c r="D264">
        <v>59.377938780000001</v>
      </c>
      <c r="E264">
        <v>2.812185269</v>
      </c>
      <c r="F264">
        <v>150.8600223</v>
      </c>
      <c r="G264">
        <v>63.985312190000002</v>
      </c>
      <c r="H264">
        <v>46.782400180000003</v>
      </c>
      <c r="I264">
        <v>47.481876810000003</v>
      </c>
      <c r="J264">
        <v>45.991488480000001</v>
      </c>
      <c r="K264">
        <v>46.993302470000003</v>
      </c>
      <c r="L264">
        <v>255.46586020000001</v>
      </c>
      <c r="M264">
        <v>21.880339060000001</v>
      </c>
      <c r="N264">
        <v>2.488728364</v>
      </c>
      <c r="O264">
        <v>-5.9882817999999997E-2</v>
      </c>
      <c r="P264">
        <v>0.50430011200000002</v>
      </c>
      <c r="Q264" t="s">
        <v>19</v>
      </c>
      <c r="R264" t="s">
        <v>21</v>
      </c>
      <c r="S264">
        <f>IF(R264="粉砂质泥岩",0,IF(R264="暗色泥岩",1,IF(R264="非均质砂岩",2,IF(R264="均质砂岩",3,IF(R264="黑色页岩",4,IF(R264="凝灰岩",5,""))))))</f>
        <v>2</v>
      </c>
    </row>
    <row r="265" spans="1:19" x14ac:dyDescent="0.2">
      <c r="A265" t="s">
        <v>32</v>
      </c>
      <c r="B265">
        <v>1616.0175999999999</v>
      </c>
      <c r="C265">
        <v>1619.2336</v>
      </c>
      <c r="D265">
        <v>47.049299730000001</v>
      </c>
      <c r="E265">
        <v>3.50921532</v>
      </c>
      <c r="F265">
        <v>391.04127949999997</v>
      </c>
      <c r="G265">
        <v>96.598988849999998</v>
      </c>
      <c r="H265">
        <v>88.54811746</v>
      </c>
      <c r="I265">
        <v>77.460760609999994</v>
      </c>
      <c r="J265">
        <v>85.133574730000007</v>
      </c>
      <c r="K265">
        <v>89.793389070000003</v>
      </c>
      <c r="L265">
        <v>316.26055339999999</v>
      </c>
      <c r="M265">
        <v>37.14670838</v>
      </c>
      <c r="N265">
        <v>2.3153697910000002</v>
      </c>
      <c r="O265">
        <v>-0.20618372099999999</v>
      </c>
      <c r="P265">
        <v>1.705206403</v>
      </c>
      <c r="Q265" t="s">
        <v>19</v>
      </c>
      <c r="R265" t="s">
        <v>25</v>
      </c>
      <c r="S265">
        <f>IF(R265="粉砂质泥岩",0,IF(R265="暗色泥岩",1,IF(R265="非均质砂岩",2,IF(R265="均质砂岩",3,IF(R265="黑色页岩",4,IF(R265="凝灰岩",5,""))))))</f>
        <v>4</v>
      </c>
    </row>
    <row r="266" spans="1:19" x14ac:dyDescent="0.2">
      <c r="A266" t="s">
        <v>32</v>
      </c>
      <c r="B266">
        <v>1619.2340999999999</v>
      </c>
      <c r="C266">
        <v>1620.1654000000001</v>
      </c>
      <c r="D266">
        <v>41.178816320000003</v>
      </c>
      <c r="E266">
        <v>3.0967310069999998</v>
      </c>
      <c r="F266">
        <v>297.41626170000001</v>
      </c>
      <c r="G266">
        <v>169.2111645</v>
      </c>
      <c r="H266">
        <v>124.061831</v>
      </c>
      <c r="I266">
        <v>111.4297061</v>
      </c>
      <c r="J266">
        <v>118.0072773</v>
      </c>
      <c r="K266">
        <v>130.4003663</v>
      </c>
      <c r="L266">
        <v>294.33273320000001</v>
      </c>
      <c r="M266">
        <v>31.265307190000001</v>
      </c>
      <c r="N266">
        <v>2.2798357899999999</v>
      </c>
      <c r="O266">
        <v>-6.0992569000000003E-2</v>
      </c>
      <c r="P266">
        <v>1.2370813039999999</v>
      </c>
      <c r="Q266" t="s">
        <v>19</v>
      </c>
      <c r="R266" t="s">
        <v>23</v>
      </c>
      <c r="S266">
        <f>IF(R266="粉砂质泥岩",0,IF(R266="暗色泥岩",1,IF(R266="非均质砂岩",2,IF(R266="均质砂岩",3,IF(R266="黑色页岩",4,IF(R266="凝灰岩",5,""))))))</f>
        <v>3</v>
      </c>
    </row>
    <row r="267" spans="1:19" x14ac:dyDescent="0.2">
      <c r="A267" t="s">
        <v>32</v>
      </c>
      <c r="B267">
        <v>1620.1654000000001</v>
      </c>
      <c r="C267">
        <v>1628.0826</v>
      </c>
      <c r="D267">
        <v>44.74566883</v>
      </c>
      <c r="E267">
        <v>3.3300785940000002</v>
      </c>
      <c r="F267">
        <v>328.09709529999998</v>
      </c>
      <c r="G267">
        <v>193.36218909999999</v>
      </c>
      <c r="H267">
        <v>130.5736263</v>
      </c>
      <c r="I267">
        <v>113.1335368</v>
      </c>
      <c r="J267">
        <v>124.678308</v>
      </c>
      <c r="K267">
        <v>149.6971092</v>
      </c>
      <c r="L267">
        <v>295.28715349999999</v>
      </c>
      <c r="M267">
        <v>33.706139620000002</v>
      </c>
      <c r="N267">
        <v>2.309042968</v>
      </c>
      <c r="O267">
        <v>-0.19985702799999999</v>
      </c>
      <c r="P267">
        <v>1.390485481</v>
      </c>
      <c r="Q267" t="s">
        <v>19</v>
      </c>
      <c r="R267" t="s">
        <v>25</v>
      </c>
      <c r="S267">
        <f>IF(R267="粉砂质泥岩",0,IF(R267="暗色泥岩",1,IF(R267="非均质砂岩",2,IF(R267="均质砂岩",3,IF(R267="黑色页岩",4,IF(R267="凝灰岩",5,""))))))</f>
        <v>4</v>
      </c>
    </row>
    <row r="268" spans="1:19" x14ac:dyDescent="0.2">
      <c r="A268" t="s">
        <v>32</v>
      </c>
      <c r="B268">
        <v>1628.0826</v>
      </c>
      <c r="C268">
        <v>1629.9022</v>
      </c>
      <c r="D268">
        <v>56.351391079999999</v>
      </c>
      <c r="E268">
        <v>3.0034692440000001</v>
      </c>
      <c r="F268">
        <v>208.9168286</v>
      </c>
      <c r="G268">
        <v>199.91872839999999</v>
      </c>
      <c r="H268">
        <v>115.3672504</v>
      </c>
      <c r="I268">
        <v>120.53976110000001</v>
      </c>
      <c r="J268">
        <v>125.3142138</v>
      </c>
      <c r="K268">
        <v>147.8981028</v>
      </c>
      <c r="L268">
        <v>260.80671790000002</v>
      </c>
      <c r="M268">
        <v>23.227332709999999</v>
      </c>
      <c r="N268">
        <v>2.4134371429999999</v>
      </c>
      <c r="O268">
        <v>-4.1990375000000003E-2</v>
      </c>
      <c r="P268">
        <v>0.79458413500000002</v>
      </c>
      <c r="Q268" t="s">
        <v>19</v>
      </c>
      <c r="R268" t="s">
        <v>21</v>
      </c>
      <c r="S268">
        <f>IF(R268="粉砂质泥岩",0,IF(R268="暗色泥岩",1,IF(R268="非均质砂岩",2,IF(R268="均质砂岩",3,IF(R268="黑色页岩",4,IF(R268="凝灰岩",5,""))))))</f>
        <v>2</v>
      </c>
    </row>
    <row r="269" spans="1:19" x14ac:dyDescent="0.2">
      <c r="A269" t="s">
        <v>32</v>
      </c>
      <c r="B269">
        <v>1629.9022</v>
      </c>
      <c r="C269">
        <v>1631.7645</v>
      </c>
      <c r="D269">
        <v>61.950752260000002</v>
      </c>
      <c r="E269">
        <v>3.129114822</v>
      </c>
      <c r="F269">
        <v>244.4085503</v>
      </c>
      <c r="G269">
        <v>147.54442470000001</v>
      </c>
      <c r="H269">
        <v>74.279922959999993</v>
      </c>
      <c r="I269">
        <v>83.223928569999998</v>
      </c>
      <c r="J269">
        <v>93.82379675</v>
      </c>
      <c r="K269">
        <v>107.2718749</v>
      </c>
      <c r="L269">
        <v>271.31491369999998</v>
      </c>
      <c r="M269">
        <v>26.372936729999999</v>
      </c>
      <c r="N269">
        <v>2.4338212010000002</v>
      </c>
      <c r="O269">
        <v>-0.197243114</v>
      </c>
      <c r="P269">
        <v>0.97204275799999995</v>
      </c>
      <c r="Q269" t="s">
        <v>19</v>
      </c>
      <c r="R269" t="s">
        <v>20</v>
      </c>
      <c r="S269">
        <f>IF(R269="粉砂质泥岩",0,IF(R269="暗色泥岩",1,IF(R269="非均质砂岩",2,IF(R269="均质砂岩",3,IF(R269="黑色页岩",4,IF(R269="凝灰岩",5,""))))))</f>
        <v>1</v>
      </c>
    </row>
    <row r="270" spans="1:19" x14ac:dyDescent="0.2">
      <c r="A270" t="s">
        <v>32</v>
      </c>
      <c r="B270">
        <v>1631.7645</v>
      </c>
      <c r="C270">
        <v>1634.3884</v>
      </c>
      <c r="D270">
        <v>61.304961980000002</v>
      </c>
      <c r="E270">
        <v>2.4448634710000001</v>
      </c>
      <c r="F270">
        <v>178.09246060000001</v>
      </c>
      <c r="G270">
        <v>83.001306709999994</v>
      </c>
      <c r="H270">
        <v>73.189235080000003</v>
      </c>
      <c r="I270">
        <v>63.613248560000002</v>
      </c>
      <c r="J270">
        <v>67.304414230000006</v>
      </c>
      <c r="K270">
        <v>67.868556280000007</v>
      </c>
      <c r="L270">
        <v>267.71653750000002</v>
      </c>
      <c r="M270">
        <v>22.707988390000001</v>
      </c>
      <c r="N270">
        <v>2.314874541</v>
      </c>
      <c r="O270">
        <v>-3.3553872999999998E-2</v>
      </c>
      <c r="P270">
        <v>0.64046230400000004</v>
      </c>
      <c r="Q270" t="s">
        <v>19</v>
      </c>
      <c r="R270" t="s">
        <v>21</v>
      </c>
      <c r="S270">
        <f>IF(R270="粉砂质泥岩",0,IF(R270="暗色泥岩",1,IF(R270="非均质砂岩",2,IF(R270="均质砂岩",3,IF(R270="黑色页岩",4,IF(R270="凝灰岩",5,""))))))</f>
        <v>2</v>
      </c>
    </row>
    <row r="271" spans="1:19" x14ac:dyDescent="0.2">
      <c r="A271" t="s">
        <v>32</v>
      </c>
      <c r="B271">
        <v>1634.3884</v>
      </c>
      <c r="C271">
        <v>1635.1957</v>
      </c>
      <c r="D271">
        <v>61.394798280000003</v>
      </c>
      <c r="E271">
        <v>3.0724396020000002</v>
      </c>
      <c r="F271">
        <v>159.1128932</v>
      </c>
      <c r="G271">
        <v>23.77752972</v>
      </c>
      <c r="H271">
        <v>21.794633180000002</v>
      </c>
      <c r="I271">
        <v>20.420123920000002</v>
      </c>
      <c r="J271">
        <v>21.13757202</v>
      </c>
      <c r="K271">
        <v>21.474013459999998</v>
      </c>
      <c r="L271">
        <v>284.60095209999997</v>
      </c>
      <c r="M271">
        <v>25.026221140000001</v>
      </c>
      <c r="N271">
        <v>2.4463213170000002</v>
      </c>
      <c r="O271">
        <v>-0.26718723100000003</v>
      </c>
      <c r="P271">
        <v>0.54556446400000003</v>
      </c>
      <c r="Q271" t="s">
        <v>19</v>
      </c>
      <c r="R271" t="s">
        <v>24</v>
      </c>
      <c r="S271">
        <f>IF(R271="粉砂质泥岩",0,IF(R271="暗色泥岩",1,IF(R271="非均质砂岩",2,IF(R271="均质砂岩",3,IF(R271="黑色页岩",4,IF(R271="凝灰岩",5,""))))))</f>
        <v>5</v>
      </c>
    </row>
    <row r="272" spans="1:19" x14ac:dyDescent="0.2">
      <c r="A272" t="s">
        <v>33</v>
      </c>
      <c r="B272">
        <v>1279.6802</v>
      </c>
      <c r="C272">
        <v>1280.3665000000001</v>
      </c>
      <c r="D272">
        <v>66.873090110000007</v>
      </c>
      <c r="E272">
        <v>2.8813341060000002</v>
      </c>
      <c r="F272">
        <v>131.30370199999999</v>
      </c>
      <c r="G272">
        <v>38.24445343</v>
      </c>
      <c r="H272">
        <v>36.312311170000001</v>
      </c>
      <c r="I272">
        <v>36.763888039999998</v>
      </c>
      <c r="J272">
        <v>34.829964320000002</v>
      </c>
      <c r="K272">
        <v>39.494314189999997</v>
      </c>
      <c r="L272">
        <v>243.50291189999999</v>
      </c>
      <c r="M272">
        <v>15.01820532</v>
      </c>
      <c r="N272">
        <v>2.5966401100000001</v>
      </c>
      <c r="O272">
        <v>-0.161060654</v>
      </c>
      <c r="P272">
        <v>0.406518514</v>
      </c>
      <c r="Q272" t="s">
        <v>19</v>
      </c>
      <c r="R272" t="s">
        <v>22</v>
      </c>
      <c r="S272">
        <f>IF(R272="粉砂质泥岩",0,IF(R272="暗色泥岩",1,IF(R272="非均质砂岩",2,IF(R272="均质砂岩",3,IF(R272="黑色页岩",4,IF(R272="凝灰岩",5,""))))))</f>
        <v>0</v>
      </c>
    </row>
    <row r="273" spans="1:19" x14ac:dyDescent="0.2">
      <c r="A273" t="s">
        <v>33</v>
      </c>
      <c r="B273">
        <v>1280.3665000000001</v>
      </c>
      <c r="C273">
        <v>1282.1655000000001</v>
      </c>
      <c r="D273">
        <v>67.276905819999996</v>
      </c>
      <c r="E273">
        <v>3.250363111</v>
      </c>
      <c r="F273">
        <v>192.40974829999999</v>
      </c>
      <c r="G273">
        <v>23.514122260000001</v>
      </c>
      <c r="H273">
        <v>27.483013029999999</v>
      </c>
      <c r="I273">
        <v>29.4468605</v>
      </c>
      <c r="J273">
        <v>27.387780889999998</v>
      </c>
      <c r="K273">
        <v>30.62546743</v>
      </c>
      <c r="L273">
        <v>269.6176585</v>
      </c>
      <c r="M273">
        <v>22.136630499999999</v>
      </c>
      <c r="N273">
        <v>2.569096359</v>
      </c>
      <c r="O273">
        <v>-0.244919841</v>
      </c>
      <c r="P273">
        <v>0.71204874900000004</v>
      </c>
      <c r="Q273" t="s">
        <v>19</v>
      </c>
      <c r="R273" t="s">
        <v>20</v>
      </c>
      <c r="S273">
        <f>IF(R273="粉砂质泥岩",0,IF(R273="暗色泥岩",1,IF(R273="非均质砂岩",2,IF(R273="均质砂岩",3,IF(R273="黑色页岩",4,IF(R273="凝灰岩",5,""))))))</f>
        <v>1</v>
      </c>
    </row>
    <row r="274" spans="1:19" x14ac:dyDescent="0.2">
      <c r="A274" t="s">
        <v>33</v>
      </c>
      <c r="B274">
        <v>1282.1655000000001</v>
      </c>
      <c r="C274">
        <v>1285.6062999999999</v>
      </c>
      <c r="D274">
        <v>66.521336520000006</v>
      </c>
      <c r="E274">
        <v>2.8739528079999999</v>
      </c>
      <c r="F274">
        <v>114.34204149999999</v>
      </c>
      <c r="G274">
        <v>33.157220250000002</v>
      </c>
      <c r="H274">
        <v>32.409103389999999</v>
      </c>
      <c r="I274">
        <v>33.777560790000003</v>
      </c>
      <c r="J274">
        <v>30.411325919999999</v>
      </c>
      <c r="K274">
        <v>32.926171660000001</v>
      </c>
      <c r="L274">
        <v>218.57693800000001</v>
      </c>
      <c r="M274">
        <v>12.00437681</v>
      </c>
      <c r="N274">
        <v>2.6123068580000002</v>
      </c>
      <c r="O274">
        <v>-7.5084485000000006E-2</v>
      </c>
      <c r="P274">
        <v>0.321710208</v>
      </c>
      <c r="Q274" t="s">
        <v>19</v>
      </c>
      <c r="R274" t="s">
        <v>21</v>
      </c>
      <c r="S274">
        <f>IF(R274="粉砂质泥岩",0,IF(R274="暗色泥岩",1,IF(R274="非均质砂岩",2,IF(R274="均质砂岩",3,IF(R274="黑色页岩",4,IF(R274="凝灰岩",5,""))))))</f>
        <v>2</v>
      </c>
    </row>
    <row r="275" spans="1:19" x14ac:dyDescent="0.2">
      <c r="A275" t="s">
        <v>33</v>
      </c>
      <c r="B275">
        <v>1285.6062999999999</v>
      </c>
      <c r="C275">
        <v>1286.6105</v>
      </c>
      <c r="D275">
        <v>65.42512936</v>
      </c>
      <c r="E275">
        <v>3.1214385299999998</v>
      </c>
      <c r="F275">
        <v>152.55453919999999</v>
      </c>
      <c r="G275">
        <v>25.726538980000001</v>
      </c>
      <c r="H275">
        <v>29.4614616</v>
      </c>
      <c r="I275">
        <v>31.266969679999999</v>
      </c>
      <c r="J275">
        <v>28.170480300000001</v>
      </c>
      <c r="K275">
        <v>30.54534001</v>
      </c>
      <c r="L275">
        <v>245.68935139999999</v>
      </c>
      <c r="M275">
        <v>18.830870310000002</v>
      </c>
      <c r="N275">
        <v>2.6230486499999999</v>
      </c>
      <c r="O275">
        <v>-0.196303956</v>
      </c>
      <c r="P275">
        <v>0.51277268899999995</v>
      </c>
      <c r="Q275" t="s">
        <v>19</v>
      </c>
      <c r="R275" t="s">
        <v>20</v>
      </c>
      <c r="S275">
        <f>IF(R275="粉砂质泥岩",0,IF(R275="暗色泥岩",1,IF(R275="非均质砂岩",2,IF(R275="均质砂岩",3,IF(R275="黑色页岩",4,IF(R275="凝灰岩",5,""))))))</f>
        <v>1</v>
      </c>
    </row>
    <row r="276" spans="1:19" x14ac:dyDescent="0.2">
      <c r="A276" t="s">
        <v>33</v>
      </c>
      <c r="B276">
        <v>1286.6105</v>
      </c>
      <c r="C276">
        <v>1287.51</v>
      </c>
      <c r="D276">
        <v>64.175406929999994</v>
      </c>
      <c r="E276">
        <v>2.8581043780000002</v>
      </c>
      <c r="F276">
        <v>114.1812353</v>
      </c>
      <c r="G276">
        <v>42.347449300000001</v>
      </c>
      <c r="H276">
        <v>40.263882639999999</v>
      </c>
      <c r="I276">
        <v>40.671918869999999</v>
      </c>
      <c r="J276">
        <v>37.748056890000001</v>
      </c>
      <c r="K276">
        <v>41.836961270000003</v>
      </c>
      <c r="L276">
        <v>237.72348589999999</v>
      </c>
      <c r="M276">
        <v>14.047917719999999</v>
      </c>
      <c r="N276">
        <v>2.5472074149999999</v>
      </c>
      <c r="O276">
        <v>-0.101912058</v>
      </c>
      <c r="P276">
        <v>0.32090617700000001</v>
      </c>
      <c r="Q276" t="s">
        <v>19</v>
      </c>
      <c r="R276" t="s">
        <v>23</v>
      </c>
      <c r="S276">
        <f>IF(R276="粉砂质泥岩",0,IF(R276="暗色泥岩",1,IF(R276="非均质砂岩",2,IF(R276="均质砂岩",3,IF(R276="黑色页岩",4,IF(R276="凝灰岩",5,""))))))</f>
        <v>3</v>
      </c>
    </row>
    <row r="277" spans="1:19" x14ac:dyDescent="0.2">
      <c r="A277" t="s">
        <v>33</v>
      </c>
      <c r="B277">
        <v>1287.51</v>
      </c>
      <c r="C277">
        <v>1288.0391999999999</v>
      </c>
      <c r="D277">
        <v>63.494065859999999</v>
      </c>
      <c r="E277">
        <v>2.7346772669999999</v>
      </c>
      <c r="F277">
        <v>137.3307571</v>
      </c>
      <c r="G277">
        <v>37.833255770000001</v>
      </c>
      <c r="H277">
        <v>36.670449830000003</v>
      </c>
      <c r="I277">
        <v>37.685679630000003</v>
      </c>
      <c r="J277">
        <v>34.331831360000002</v>
      </c>
      <c r="K277">
        <v>37.555973049999999</v>
      </c>
      <c r="L277">
        <v>240.24397579999999</v>
      </c>
      <c r="M277">
        <v>16.36303959</v>
      </c>
      <c r="N277">
        <v>2.557904577</v>
      </c>
      <c r="O277">
        <v>-0.164596301</v>
      </c>
      <c r="P277">
        <v>0.43665378700000002</v>
      </c>
      <c r="Q277" t="s">
        <v>19</v>
      </c>
      <c r="R277" t="s">
        <v>20</v>
      </c>
      <c r="S277">
        <f>IF(R277="粉砂质泥岩",0,IF(R277="暗色泥岩",1,IF(R277="非均质砂岩",2,IF(R277="均质砂岩",3,IF(R277="黑色页岩",4,IF(R277="凝灰岩",5,""))))))</f>
        <v>1</v>
      </c>
    </row>
    <row r="278" spans="1:19" x14ac:dyDescent="0.2">
      <c r="A278" t="s">
        <v>33</v>
      </c>
      <c r="B278">
        <v>1288.0391999999999</v>
      </c>
      <c r="C278">
        <v>1289.7325000000001</v>
      </c>
      <c r="D278">
        <v>61.181526179999999</v>
      </c>
      <c r="E278">
        <v>2.6567198589999999</v>
      </c>
      <c r="F278">
        <v>92.224984230000004</v>
      </c>
      <c r="G278">
        <v>43.28589427</v>
      </c>
      <c r="H278">
        <v>40.17523499</v>
      </c>
      <c r="I278">
        <v>41.258219150000002</v>
      </c>
      <c r="J278">
        <v>37.756196850000002</v>
      </c>
      <c r="K278">
        <v>41.366835020000003</v>
      </c>
      <c r="L278">
        <v>216.88527020000001</v>
      </c>
      <c r="M278">
        <v>9.7500470799999999</v>
      </c>
      <c r="N278">
        <v>2.584062195</v>
      </c>
      <c r="O278">
        <v>-5.2134482000000003E-2</v>
      </c>
      <c r="P278">
        <v>0.21112492199999999</v>
      </c>
      <c r="Q278" t="s">
        <v>19</v>
      </c>
      <c r="R278" t="s">
        <v>21</v>
      </c>
      <c r="S278">
        <f>IF(R278="粉砂质泥岩",0,IF(R278="暗色泥岩",1,IF(R278="非均质砂岩",2,IF(R278="均质砂岩",3,IF(R278="黑色页岩",4,IF(R278="凝灰岩",5,""))))))</f>
        <v>2</v>
      </c>
    </row>
    <row r="279" spans="1:19" x14ac:dyDescent="0.2">
      <c r="A279" t="s">
        <v>33</v>
      </c>
      <c r="B279">
        <v>1289.7325000000001</v>
      </c>
      <c r="C279">
        <v>1290.2086999999999</v>
      </c>
      <c r="D279">
        <v>61.905451970000001</v>
      </c>
      <c r="E279">
        <v>2.6383925910000001</v>
      </c>
      <c r="F279">
        <v>128.85987700000001</v>
      </c>
      <c r="G279">
        <v>37.835633090000002</v>
      </c>
      <c r="H279">
        <v>35.324610139999997</v>
      </c>
      <c r="I279">
        <v>36.474425510000003</v>
      </c>
      <c r="J279">
        <v>33.018785479999998</v>
      </c>
      <c r="K279">
        <v>35.879828639999999</v>
      </c>
      <c r="L279">
        <v>221.16196590000001</v>
      </c>
      <c r="M279">
        <v>12.284619899999999</v>
      </c>
      <c r="N279">
        <v>2.6067609790000001</v>
      </c>
      <c r="O279">
        <v>-0.129157826</v>
      </c>
      <c r="P279">
        <v>0.39429938799999997</v>
      </c>
      <c r="Q279" t="s">
        <v>19</v>
      </c>
      <c r="R279" t="s">
        <v>22</v>
      </c>
      <c r="S279">
        <f>IF(R279="粉砂质泥岩",0,IF(R279="暗色泥岩",1,IF(R279="非均质砂岩",2,IF(R279="均质砂岩",3,IF(R279="黑色页岩",4,IF(R279="凝灰岩",5,""))))))</f>
        <v>0</v>
      </c>
    </row>
    <row r="280" spans="1:19" x14ac:dyDescent="0.2">
      <c r="A280" t="s">
        <v>33</v>
      </c>
      <c r="B280">
        <v>1290.2086999999999</v>
      </c>
      <c r="C280">
        <v>1291.4258</v>
      </c>
      <c r="D280">
        <v>62.579649840000002</v>
      </c>
      <c r="E280">
        <v>2.6294341299999999</v>
      </c>
      <c r="F280">
        <v>103.3347785</v>
      </c>
      <c r="G280">
        <v>39.165397640000002</v>
      </c>
      <c r="H280">
        <v>36.810341229999999</v>
      </c>
      <c r="I280">
        <v>37.55542166</v>
      </c>
      <c r="J280">
        <v>34.43698363</v>
      </c>
      <c r="K280">
        <v>37.72692507</v>
      </c>
      <c r="L280">
        <v>220.8066628</v>
      </c>
      <c r="M280">
        <v>11.43570102</v>
      </c>
      <c r="N280">
        <v>2.5867326689999999</v>
      </c>
      <c r="O280">
        <v>-6.1788490000000001E-2</v>
      </c>
      <c r="P280">
        <v>0.266673891</v>
      </c>
      <c r="Q280" t="s">
        <v>19</v>
      </c>
      <c r="R280" t="s">
        <v>21</v>
      </c>
      <c r="S280">
        <f>IF(R280="粉砂质泥岩",0,IF(R280="暗色泥岩",1,IF(R280="非均质砂岩",2,IF(R280="均质砂岩",3,IF(R280="黑色页岩",4,IF(R280="凝灰岩",5,""))))))</f>
        <v>2</v>
      </c>
    </row>
    <row r="281" spans="1:19" x14ac:dyDescent="0.2">
      <c r="A281" t="s">
        <v>33</v>
      </c>
      <c r="B281">
        <v>1291.4258</v>
      </c>
      <c r="C281">
        <v>1292.3258000000001</v>
      </c>
      <c r="D281">
        <v>64.196757790000007</v>
      </c>
      <c r="E281">
        <v>2.924906284</v>
      </c>
      <c r="F281">
        <v>128.71495150000001</v>
      </c>
      <c r="G281">
        <v>31.366144420000001</v>
      </c>
      <c r="H281">
        <v>31.617016790000001</v>
      </c>
      <c r="I281">
        <v>32.609622719999997</v>
      </c>
      <c r="J281">
        <v>29.67650175</v>
      </c>
      <c r="K281">
        <v>32.336314680000001</v>
      </c>
      <c r="L281">
        <v>225.62501140000001</v>
      </c>
      <c r="M281">
        <v>14.33398616</v>
      </c>
      <c r="N281">
        <v>2.6193659010000001</v>
      </c>
      <c r="O281">
        <v>-0.12165398199999999</v>
      </c>
      <c r="P281">
        <v>0.393574759</v>
      </c>
      <c r="Q281" t="s">
        <v>19</v>
      </c>
      <c r="R281" t="s">
        <v>22</v>
      </c>
      <c r="S281">
        <f>IF(R281="粉砂质泥岩",0,IF(R281="暗色泥岩",1,IF(R281="非均质砂岩",2,IF(R281="均质砂岩",3,IF(R281="黑色页岩",4,IF(R281="凝灰岩",5,""))))))</f>
        <v>0</v>
      </c>
    </row>
    <row r="282" spans="1:19" x14ac:dyDescent="0.2">
      <c r="A282" t="s">
        <v>33</v>
      </c>
      <c r="B282">
        <v>1292.3258000000001</v>
      </c>
      <c r="C282">
        <v>1292.6958</v>
      </c>
      <c r="D282">
        <v>65.160070419999997</v>
      </c>
      <c r="E282">
        <v>2.8790510299999998</v>
      </c>
      <c r="F282">
        <v>111.3756142</v>
      </c>
      <c r="G282">
        <v>39.869576449999997</v>
      </c>
      <c r="H282">
        <v>37.702040670000002</v>
      </c>
      <c r="I282">
        <v>37.83142376</v>
      </c>
      <c r="J282">
        <v>35.320958140000002</v>
      </c>
      <c r="K282">
        <v>39.241381650000001</v>
      </c>
      <c r="L282">
        <v>225.91880040000001</v>
      </c>
      <c r="M282">
        <v>12.25112152</v>
      </c>
      <c r="N282">
        <v>2.5721097589999999</v>
      </c>
      <c r="O282">
        <v>-8.1437503999999994E-2</v>
      </c>
      <c r="P282">
        <v>0.30687807499999997</v>
      </c>
      <c r="Q282" t="s">
        <v>19</v>
      </c>
      <c r="R282" t="s">
        <v>23</v>
      </c>
      <c r="S282">
        <f>IF(R282="粉砂质泥岩",0,IF(R282="暗色泥岩",1,IF(R282="非均质砂岩",2,IF(R282="均质砂岩",3,IF(R282="黑色页岩",4,IF(R282="凝灰岩",5,""))))))</f>
        <v>3</v>
      </c>
    </row>
    <row r="283" spans="1:19" x14ac:dyDescent="0.2">
      <c r="A283" t="s">
        <v>33</v>
      </c>
      <c r="B283">
        <v>1292.6958</v>
      </c>
      <c r="C283">
        <v>1293.3837000000001</v>
      </c>
      <c r="D283">
        <v>65.624335149999993</v>
      </c>
      <c r="E283">
        <v>2.917115109</v>
      </c>
      <c r="F283">
        <v>135.06680080000001</v>
      </c>
      <c r="G283">
        <v>36.021653039999997</v>
      </c>
      <c r="H283">
        <v>34.183228360000001</v>
      </c>
      <c r="I283">
        <v>34.750043050000002</v>
      </c>
      <c r="J283">
        <v>32.038436619999999</v>
      </c>
      <c r="K283">
        <v>35.337575639999997</v>
      </c>
      <c r="L283">
        <v>231.11739019999999</v>
      </c>
      <c r="M283">
        <v>14.47793933</v>
      </c>
      <c r="N283">
        <v>2.6024752690000001</v>
      </c>
      <c r="O283">
        <v>-0.15869299000000001</v>
      </c>
      <c r="P283">
        <v>0.42533400700000001</v>
      </c>
      <c r="Q283" t="s">
        <v>19</v>
      </c>
      <c r="R283" t="s">
        <v>20</v>
      </c>
      <c r="S283">
        <f>IF(R283="粉砂质泥岩",0,IF(R283="暗色泥岩",1,IF(R283="非均质砂岩",2,IF(R283="均质砂岩",3,IF(R283="黑色页岩",4,IF(R283="凝灰岩",5,""))))))</f>
        <v>1</v>
      </c>
    </row>
    <row r="284" spans="1:19" x14ac:dyDescent="0.2">
      <c r="A284" t="s">
        <v>33</v>
      </c>
      <c r="B284">
        <v>1293.3837000000001</v>
      </c>
      <c r="C284">
        <v>1294.0719999999999</v>
      </c>
      <c r="D284">
        <v>65.778476170000005</v>
      </c>
      <c r="E284">
        <v>2.7213989330000001</v>
      </c>
      <c r="F284">
        <v>110.9080745</v>
      </c>
      <c r="G284">
        <v>42.937641139999997</v>
      </c>
      <c r="H284">
        <v>38.329200739999997</v>
      </c>
      <c r="I284">
        <v>38.473334719999997</v>
      </c>
      <c r="J284">
        <v>36.046339850000003</v>
      </c>
      <c r="K284">
        <v>40.259318759999999</v>
      </c>
      <c r="L284">
        <v>225.191633</v>
      </c>
      <c r="M284">
        <v>11.47533825</v>
      </c>
      <c r="N284">
        <v>2.5887924940000002</v>
      </c>
      <c r="O284">
        <v>-8.6822723000000004E-2</v>
      </c>
      <c r="P284">
        <v>0.30454036800000001</v>
      </c>
      <c r="Q284" t="s">
        <v>19</v>
      </c>
      <c r="R284" t="s">
        <v>23</v>
      </c>
      <c r="S284">
        <f>IF(R284="粉砂质泥岩",0,IF(R284="暗色泥岩",1,IF(R284="非均质砂岩",2,IF(R284="均质砂岩",3,IF(R284="黑色页岩",4,IF(R284="凝灰岩",5,""))))))</f>
        <v>3</v>
      </c>
    </row>
    <row r="285" spans="1:19" x14ac:dyDescent="0.2">
      <c r="A285" t="s">
        <v>33</v>
      </c>
      <c r="B285">
        <v>1294.0719999999999</v>
      </c>
      <c r="C285">
        <v>1295.0779</v>
      </c>
      <c r="D285">
        <v>64.920008339999995</v>
      </c>
      <c r="E285">
        <v>2.9258027339999999</v>
      </c>
      <c r="F285">
        <v>128.23953589999999</v>
      </c>
      <c r="G285">
        <v>35.189439559999997</v>
      </c>
      <c r="H285">
        <v>34.401937269999998</v>
      </c>
      <c r="I285">
        <v>35.287171260000001</v>
      </c>
      <c r="J285">
        <v>32.238228059999997</v>
      </c>
      <c r="K285">
        <v>35.319439359999997</v>
      </c>
      <c r="L285">
        <v>222.72588089999999</v>
      </c>
      <c r="M285">
        <v>13.4565559</v>
      </c>
      <c r="N285">
        <v>2.6462976930000002</v>
      </c>
      <c r="O285">
        <v>-0.116965476</v>
      </c>
      <c r="P285">
        <v>0.39119767799999999</v>
      </c>
      <c r="Q285" t="s">
        <v>19</v>
      </c>
      <c r="R285" t="s">
        <v>22</v>
      </c>
      <c r="S285">
        <f>IF(R285="粉砂质泥岩",0,IF(R285="暗色泥岩",1,IF(R285="非均质砂岩",2,IF(R285="均质砂岩",3,IF(R285="黑色页岩",4,IF(R285="凝灰岩",5,""))))))</f>
        <v>0</v>
      </c>
    </row>
    <row r="286" spans="1:19" x14ac:dyDescent="0.2">
      <c r="A286" t="s">
        <v>33</v>
      </c>
      <c r="B286">
        <v>1295.0779</v>
      </c>
      <c r="C286">
        <v>1301.5329999999999</v>
      </c>
      <c r="D286">
        <v>63.00581468</v>
      </c>
      <c r="E286">
        <v>2.739172742</v>
      </c>
      <c r="F286">
        <v>101.0853998</v>
      </c>
      <c r="G286">
        <v>41.948547220000002</v>
      </c>
      <c r="H286">
        <v>39.769517720000003</v>
      </c>
      <c r="I286">
        <v>40.613485009999998</v>
      </c>
      <c r="J286">
        <v>38.228651149999997</v>
      </c>
      <c r="K286">
        <v>42.710941669999997</v>
      </c>
      <c r="L286">
        <v>225.9379673</v>
      </c>
      <c r="M286">
        <v>11.034835259999999</v>
      </c>
      <c r="N286">
        <v>2.551087892</v>
      </c>
      <c r="O286">
        <v>-7.3924719E-2</v>
      </c>
      <c r="P286">
        <v>0.25542700200000001</v>
      </c>
      <c r="Q286" t="s">
        <v>19</v>
      </c>
      <c r="R286" t="s">
        <v>21</v>
      </c>
      <c r="S286">
        <f>IF(R286="粉砂质泥岩",0,IF(R286="暗色泥岩",1,IF(R286="非均质砂岩",2,IF(R286="均质砂岩",3,IF(R286="黑色页岩",4,IF(R286="凝灰岩",5,""))))))</f>
        <v>2</v>
      </c>
    </row>
    <row r="287" spans="1:19" x14ac:dyDescent="0.2">
      <c r="A287" t="s">
        <v>33</v>
      </c>
      <c r="B287">
        <v>1301.5329999999999</v>
      </c>
      <c r="C287">
        <v>1306.4539</v>
      </c>
      <c r="D287">
        <v>57.636619949999996</v>
      </c>
      <c r="E287">
        <v>2.5079677999999999</v>
      </c>
      <c r="F287">
        <v>95.926408960000003</v>
      </c>
      <c r="G287">
        <v>52.74947701</v>
      </c>
      <c r="H287">
        <v>46.944708249999998</v>
      </c>
      <c r="I287">
        <v>46.786417200000002</v>
      </c>
      <c r="J287">
        <v>44.11817722</v>
      </c>
      <c r="K287">
        <v>49.147524169999997</v>
      </c>
      <c r="L287">
        <v>229.6501442</v>
      </c>
      <c r="M287">
        <v>11.408578609999999</v>
      </c>
      <c r="N287">
        <v>2.5156563639999998</v>
      </c>
      <c r="O287">
        <v>-6.9518729000000001E-2</v>
      </c>
      <c r="P287">
        <v>0.22963204600000001</v>
      </c>
      <c r="Q287" t="s">
        <v>19</v>
      </c>
      <c r="R287" t="s">
        <v>23</v>
      </c>
      <c r="S287">
        <f>IF(R287="粉砂质泥岩",0,IF(R287="暗色泥岩",1,IF(R287="非均质砂岩",2,IF(R287="均质砂岩",3,IF(R287="黑色页岩",4,IF(R287="凝灰岩",5,""))))))</f>
        <v>3</v>
      </c>
    </row>
    <row r="288" spans="1:19" x14ac:dyDescent="0.2">
      <c r="A288" t="s">
        <v>33</v>
      </c>
      <c r="B288">
        <v>1306.4539</v>
      </c>
      <c r="C288">
        <v>1307.5126</v>
      </c>
      <c r="D288">
        <v>63.638197580000003</v>
      </c>
      <c r="E288">
        <v>2.865851508</v>
      </c>
      <c r="F288">
        <v>157.0207715</v>
      </c>
      <c r="G288">
        <v>42.09844674</v>
      </c>
      <c r="H288">
        <v>40.715025160000003</v>
      </c>
      <c r="I288">
        <v>41.462427779999999</v>
      </c>
      <c r="J288">
        <v>38.210800169999999</v>
      </c>
      <c r="K288">
        <v>41.781355959999999</v>
      </c>
      <c r="L288">
        <v>242.7537231</v>
      </c>
      <c r="M288">
        <v>17.290387679999998</v>
      </c>
      <c r="N288">
        <v>2.582236687</v>
      </c>
      <c r="O288">
        <v>-0.217636895</v>
      </c>
      <c r="P288">
        <v>0.53510385800000004</v>
      </c>
      <c r="Q288" t="s">
        <v>19</v>
      </c>
      <c r="R288" t="s">
        <v>20</v>
      </c>
      <c r="S288">
        <f>IF(R288="粉砂质泥岩",0,IF(R288="暗色泥岩",1,IF(R288="非均质砂岩",2,IF(R288="均质砂岩",3,IF(R288="黑色页岩",4,IF(R288="凝灰岩",5,""))))))</f>
        <v>1</v>
      </c>
    </row>
    <row r="289" spans="1:19" x14ac:dyDescent="0.2">
      <c r="A289" t="s">
        <v>33</v>
      </c>
      <c r="B289">
        <v>1307.5126</v>
      </c>
      <c r="C289">
        <v>1311.9579000000001</v>
      </c>
      <c r="D289">
        <v>64.570418279999998</v>
      </c>
      <c r="E289">
        <v>2.927799727</v>
      </c>
      <c r="F289">
        <v>124.55237409999999</v>
      </c>
      <c r="G289">
        <v>36.167467430000002</v>
      </c>
      <c r="H289">
        <v>34.082473749999998</v>
      </c>
      <c r="I289">
        <v>35.152983689999999</v>
      </c>
      <c r="J289">
        <v>31.878802690000001</v>
      </c>
      <c r="K289">
        <v>34.510139359999997</v>
      </c>
      <c r="L289">
        <v>218.69825950000001</v>
      </c>
      <c r="M289">
        <v>11.52135607</v>
      </c>
      <c r="N289">
        <v>2.6242473959999999</v>
      </c>
      <c r="O289">
        <v>-9.7909175000000001E-2</v>
      </c>
      <c r="P289">
        <v>0.37276186900000002</v>
      </c>
      <c r="Q289" t="s">
        <v>19</v>
      </c>
      <c r="R289" t="s">
        <v>21</v>
      </c>
      <c r="S289">
        <f>IF(R289="粉砂质泥岩",0,IF(R289="暗色泥岩",1,IF(R289="非均质砂岩",2,IF(R289="均质砂岩",3,IF(R289="黑色页岩",4,IF(R289="凝灰岩",5,""))))))</f>
        <v>2</v>
      </c>
    </row>
    <row r="290" spans="1:19" x14ac:dyDescent="0.2">
      <c r="A290" t="s">
        <v>33</v>
      </c>
      <c r="B290">
        <v>1312.1158</v>
      </c>
      <c r="C290">
        <v>1313.5981999999999</v>
      </c>
      <c r="D290">
        <v>67.190897430000007</v>
      </c>
      <c r="E290">
        <v>2.8084130840000001</v>
      </c>
      <c r="F290">
        <v>150.78398010000001</v>
      </c>
      <c r="G290">
        <v>23.568914410000001</v>
      </c>
      <c r="H290">
        <v>20.787478669999999</v>
      </c>
      <c r="I290">
        <v>22.62238825</v>
      </c>
      <c r="J290">
        <v>19.784789310000001</v>
      </c>
      <c r="K290">
        <v>20.791712830000002</v>
      </c>
      <c r="L290">
        <v>226.9821202</v>
      </c>
      <c r="M290">
        <v>13.71941251</v>
      </c>
      <c r="N290">
        <v>2.6273495420000001</v>
      </c>
      <c r="O290">
        <v>-0.21031693900000001</v>
      </c>
      <c r="P290">
        <v>0.50391989699999995</v>
      </c>
      <c r="Q290" t="s">
        <v>19</v>
      </c>
      <c r="R290" t="s">
        <v>20</v>
      </c>
      <c r="S290">
        <f>IF(R290="粉砂质泥岩",0,IF(R290="暗色泥岩",1,IF(R290="非均质砂岩",2,IF(R290="均质砂岩",3,IF(R290="黑色页岩",4,IF(R290="凝灰岩",5,""))))))</f>
        <v>1</v>
      </c>
    </row>
    <row r="291" spans="1:19" x14ac:dyDescent="0.2">
      <c r="A291" t="s">
        <v>33</v>
      </c>
      <c r="B291">
        <v>1313.5981999999999</v>
      </c>
      <c r="C291">
        <v>1314.8153</v>
      </c>
      <c r="D291">
        <v>67.794602830000002</v>
      </c>
      <c r="E291">
        <v>2.6667206069999998</v>
      </c>
      <c r="F291">
        <v>119.604513</v>
      </c>
      <c r="G291">
        <v>32.761013200000001</v>
      </c>
      <c r="H291">
        <v>27.434399689999999</v>
      </c>
      <c r="I291">
        <v>29.369321129999999</v>
      </c>
      <c r="J291">
        <v>26.364360120000001</v>
      </c>
      <c r="K291">
        <v>28.208247790000001</v>
      </c>
      <c r="L291">
        <v>215.1096871</v>
      </c>
      <c r="M291">
        <v>9.6976995469999991</v>
      </c>
      <c r="N291">
        <v>2.6132877959999998</v>
      </c>
      <c r="O291">
        <v>-9.7235328999999995E-2</v>
      </c>
      <c r="P291">
        <v>0.348022567</v>
      </c>
      <c r="Q291" t="s">
        <v>19</v>
      </c>
      <c r="R291" t="s">
        <v>21</v>
      </c>
      <c r="S291">
        <f>IF(R291="粉砂质泥岩",0,IF(R291="暗色泥岩",1,IF(R291="非均质砂岩",2,IF(R291="均质砂岩",3,IF(R291="黑色页岩",4,IF(R291="凝灰岩",5,""))))))</f>
        <v>2</v>
      </c>
    </row>
    <row r="292" spans="1:19" x14ac:dyDescent="0.2">
      <c r="A292" t="s">
        <v>33</v>
      </c>
      <c r="B292">
        <v>1314.8153</v>
      </c>
      <c r="C292">
        <v>1315.8208</v>
      </c>
      <c r="D292">
        <v>66.739301049999995</v>
      </c>
      <c r="E292">
        <v>2.8121774460000002</v>
      </c>
      <c r="F292">
        <v>133.2395257</v>
      </c>
      <c r="G292">
        <v>30.916006509999999</v>
      </c>
      <c r="H292">
        <v>24.1813772</v>
      </c>
      <c r="I292">
        <v>25.71786796</v>
      </c>
      <c r="J292">
        <v>23.064109590000001</v>
      </c>
      <c r="K292">
        <v>24.74557283</v>
      </c>
      <c r="L292">
        <v>221.95510189999999</v>
      </c>
      <c r="M292">
        <v>11.74296676</v>
      </c>
      <c r="N292">
        <v>2.626681434</v>
      </c>
      <c r="O292">
        <v>-0.16096138099999999</v>
      </c>
      <c r="P292">
        <v>0.41619762799999999</v>
      </c>
      <c r="Q292" t="s">
        <v>19</v>
      </c>
      <c r="R292" t="s">
        <v>22</v>
      </c>
      <c r="S292">
        <f>IF(R292="粉砂质泥岩",0,IF(R292="暗色泥岩",1,IF(R292="非均质砂岩",2,IF(R292="均质砂岩",3,IF(R292="黑色页岩",4,IF(R292="凝灰岩",5,""))))))</f>
        <v>0</v>
      </c>
    </row>
    <row r="293" spans="1:19" x14ac:dyDescent="0.2">
      <c r="A293" t="s">
        <v>33</v>
      </c>
      <c r="B293">
        <v>1315.8208</v>
      </c>
      <c r="C293">
        <v>1317.3016</v>
      </c>
      <c r="D293">
        <v>63.935462360000002</v>
      </c>
      <c r="E293">
        <v>2.6435599509999999</v>
      </c>
      <c r="F293">
        <v>153.14966290000001</v>
      </c>
      <c r="G293">
        <v>21.75738797</v>
      </c>
      <c r="H293">
        <v>21.23610966</v>
      </c>
      <c r="I293">
        <v>22.42755472</v>
      </c>
      <c r="J293">
        <v>22.80518825</v>
      </c>
      <c r="K293">
        <v>24.96085798</v>
      </c>
      <c r="L293">
        <v>238.38116339999999</v>
      </c>
      <c r="M293">
        <v>15.840446030000001</v>
      </c>
      <c r="N293">
        <v>2.547796414</v>
      </c>
      <c r="O293">
        <v>-0.206527656</v>
      </c>
      <c r="P293">
        <v>0.51574831499999996</v>
      </c>
      <c r="Q293" t="s">
        <v>19</v>
      </c>
      <c r="R293" t="s">
        <v>24</v>
      </c>
      <c r="S293">
        <f>IF(R293="粉砂质泥岩",0,IF(R293="暗色泥岩",1,IF(R293="非均质砂岩",2,IF(R293="均质砂岩",3,IF(R293="黑色页岩",4,IF(R293="凝灰岩",5,""))))))</f>
        <v>5</v>
      </c>
    </row>
    <row r="294" spans="1:19" x14ac:dyDescent="0.2">
      <c r="A294" t="s">
        <v>33</v>
      </c>
      <c r="B294">
        <v>1317.3016</v>
      </c>
      <c r="C294">
        <v>1325.3447000000001</v>
      </c>
      <c r="D294">
        <v>61.946290240000003</v>
      </c>
      <c r="E294">
        <v>2.8167817409999998</v>
      </c>
      <c r="F294">
        <v>106.7290661</v>
      </c>
      <c r="G294">
        <v>37.669618020000001</v>
      </c>
      <c r="H294">
        <v>36.616621840000001</v>
      </c>
      <c r="I294">
        <v>34.882115669999997</v>
      </c>
      <c r="J294">
        <v>35.30962117</v>
      </c>
      <c r="K294">
        <v>39.203280049999996</v>
      </c>
      <c r="L294">
        <v>221.21035180000001</v>
      </c>
      <c r="M294">
        <v>10.80745812</v>
      </c>
      <c r="N294">
        <v>2.5961146940000002</v>
      </c>
      <c r="O294">
        <v>-5.0813653E-2</v>
      </c>
      <c r="P294">
        <v>0.28364533199999997</v>
      </c>
      <c r="Q294" t="s">
        <v>19</v>
      </c>
      <c r="R294" t="s">
        <v>21</v>
      </c>
      <c r="S294">
        <f>IF(R294="粉砂质泥岩",0,IF(R294="暗色泥岩",1,IF(R294="非均质砂岩",2,IF(R294="均质砂岩",3,IF(R294="黑色页岩",4,IF(R294="凝灰岩",5,""))))))</f>
        <v>2</v>
      </c>
    </row>
    <row r="295" spans="1:19" x14ac:dyDescent="0.2">
      <c r="A295" t="s">
        <v>33</v>
      </c>
      <c r="B295">
        <v>1325.3447000000001</v>
      </c>
      <c r="C295">
        <v>1325.8739</v>
      </c>
      <c r="D295">
        <v>66.199778749999993</v>
      </c>
      <c r="E295">
        <v>3.1578473570000001</v>
      </c>
      <c r="F295">
        <v>151.62489930000001</v>
      </c>
      <c r="G295">
        <v>27.465454860000001</v>
      </c>
      <c r="H295">
        <v>27.391189189999999</v>
      </c>
      <c r="I295">
        <v>26.61850128</v>
      </c>
      <c r="J295">
        <v>25.789947510000001</v>
      </c>
      <c r="K295">
        <v>27.636239620000001</v>
      </c>
      <c r="L295">
        <v>231.67284549999999</v>
      </c>
      <c r="M295">
        <v>15.915779880000001</v>
      </c>
      <c r="N295">
        <v>2.6601749899999998</v>
      </c>
      <c r="O295">
        <v>-0.214878598</v>
      </c>
      <c r="P295">
        <v>0.50812449500000001</v>
      </c>
      <c r="Q295" t="s">
        <v>19</v>
      </c>
      <c r="R295" t="s">
        <v>20</v>
      </c>
      <c r="S295">
        <f>IF(R295="粉砂质泥岩",0,IF(R295="暗色泥岩",1,IF(R295="非均质砂岩",2,IF(R295="均质砂岩",3,IF(R295="黑色页岩",4,IF(R295="凝灰岩",5,""))))))</f>
        <v>1</v>
      </c>
    </row>
    <row r="296" spans="1:19" x14ac:dyDescent="0.2">
      <c r="A296" t="s">
        <v>33</v>
      </c>
      <c r="B296">
        <v>1325.8739</v>
      </c>
      <c r="C296">
        <v>1328.1493</v>
      </c>
      <c r="D296">
        <v>66.935392680000007</v>
      </c>
      <c r="E296">
        <v>3.0523012309999999</v>
      </c>
      <c r="F296">
        <v>131.7901415</v>
      </c>
      <c r="G296">
        <v>35.970503049999998</v>
      </c>
      <c r="H296">
        <v>33.436143170000001</v>
      </c>
      <c r="I296">
        <v>31.736170720000001</v>
      </c>
      <c r="J296">
        <v>31.312762209999999</v>
      </c>
      <c r="K296">
        <v>34.097306699999997</v>
      </c>
      <c r="L296">
        <v>220.61923780000001</v>
      </c>
      <c r="M296">
        <v>12.673624289999999</v>
      </c>
      <c r="N296">
        <v>2.6446909779999999</v>
      </c>
      <c r="O296">
        <v>-6.8590063000000007E-2</v>
      </c>
      <c r="P296">
        <v>0.408950704</v>
      </c>
      <c r="Q296" t="s">
        <v>19</v>
      </c>
      <c r="R296" t="s">
        <v>21</v>
      </c>
      <c r="S296">
        <f>IF(R296="粉砂质泥岩",0,IF(R296="暗色泥岩",1,IF(R296="非均质砂岩",2,IF(R296="均质砂岩",3,IF(R296="黑色页岩",4,IF(R296="凝灰岩",5,""))))))</f>
        <v>2</v>
      </c>
    </row>
    <row r="297" spans="1:19" x14ac:dyDescent="0.2">
      <c r="A297" t="s">
        <v>33</v>
      </c>
      <c r="B297">
        <v>1328.1493</v>
      </c>
      <c r="C297">
        <v>1328.8887999999999</v>
      </c>
      <c r="D297">
        <v>67.313705440000007</v>
      </c>
      <c r="E297">
        <v>3.0313779969999999</v>
      </c>
      <c r="F297">
        <v>174.51898410000001</v>
      </c>
      <c r="G297">
        <v>25.932562690000001</v>
      </c>
      <c r="H297">
        <v>28.082425529999998</v>
      </c>
      <c r="I297">
        <v>27.573924470000001</v>
      </c>
      <c r="J297">
        <v>26.941249849999998</v>
      </c>
      <c r="K297">
        <v>29.325707300000001</v>
      </c>
      <c r="L297">
        <v>237.73722190000001</v>
      </c>
      <c r="M297">
        <v>17.460964199999999</v>
      </c>
      <c r="N297">
        <v>2.5944296969999998</v>
      </c>
      <c r="O297">
        <v>-0.18362295100000001</v>
      </c>
      <c r="P297">
        <v>0.62259491899999997</v>
      </c>
      <c r="Q297" t="s">
        <v>19</v>
      </c>
      <c r="R297" t="s">
        <v>20</v>
      </c>
      <c r="S297">
        <f>IF(R297="粉砂质泥岩",0,IF(R297="暗色泥岩",1,IF(R297="非均质砂岩",2,IF(R297="均质砂岩",3,IF(R297="黑色页岩",4,IF(R297="凝灰岩",5,""))))))</f>
        <v>1</v>
      </c>
    </row>
    <row r="298" spans="1:19" x14ac:dyDescent="0.2">
      <c r="A298" t="s">
        <v>33</v>
      </c>
      <c r="B298">
        <v>1328.8887999999999</v>
      </c>
      <c r="C298">
        <v>1330.6867</v>
      </c>
      <c r="D298">
        <v>67.075370789999994</v>
      </c>
      <c r="E298">
        <v>2.9476556299999999</v>
      </c>
      <c r="F298">
        <v>139.34115299999999</v>
      </c>
      <c r="G298">
        <v>40.331098679999997</v>
      </c>
      <c r="H298">
        <v>37.80747452</v>
      </c>
      <c r="I298">
        <v>35.455116019999998</v>
      </c>
      <c r="J298">
        <v>35.766575240000002</v>
      </c>
      <c r="K298">
        <v>39.969453049999998</v>
      </c>
      <c r="L298">
        <v>227.53959860000001</v>
      </c>
      <c r="M298">
        <v>12.354586599999999</v>
      </c>
      <c r="N298">
        <v>2.6058912439999999</v>
      </c>
      <c r="O298">
        <v>-9.9629536000000005E-2</v>
      </c>
      <c r="P298">
        <v>0.44670576499999998</v>
      </c>
      <c r="Q298" t="s">
        <v>19</v>
      </c>
      <c r="R298" t="s">
        <v>21</v>
      </c>
      <c r="S298">
        <f>IF(R298="粉砂质泥岩",0,IF(R298="暗色泥岩",1,IF(R298="非均质砂岩",2,IF(R298="均质砂岩",3,IF(R298="黑色页岩",4,IF(R298="凝灰岩",5,""))))))</f>
        <v>2</v>
      </c>
    </row>
    <row r="299" spans="1:19" x14ac:dyDescent="0.2">
      <c r="A299" t="s">
        <v>33</v>
      </c>
      <c r="B299">
        <v>1330.6867</v>
      </c>
      <c r="C299">
        <v>1335.6606999999999</v>
      </c>
      <c r="D299">
        <v>67.269701699999999</v>
      </c>
      <c r="E299">
        <v>2.8381852169999999</v>
      </c>
      <c r="F299">
        <v>159.7824871</v>
      </c>
      <c r="G299">
        <v>25.67294111</v>
      </c>
      <c r="H299">
        <v>25.783151950000001</v>
      </c>
      <c r="I299">
        <v>25.314449029999999</v>
      </c>
      <c r="J299">
        <v>24.329998530000001</v>
      </c>
      <c r="K299">
        <v>26.012966339999998</v>
      </c>
      <c r="L299">
        <v>223.97690009999999</v>
      </c>
      <c r="M299">
        <v>13.51542259</v>
      </c>
      <c r="N299">
        <v>2.6207389249999999</v>
      </c>
      <c r="O299">
        <v>-0.16554734600000001</v>
      </c>
      <c r="P299">
        <v>0.54891243599999995</v>
      </c>
      <c r="Q299" t="s">
        <v>19</v>
      </c>
      <c r="R299" t="s">
        <v>22</v>
      </c>
      <c r="S299">
        <f>IF(R299="粉砂质泥岩",0,IF(R299="暗色泥岩",1,IF(R299="非均质砂岩",2,IF(R299="均质砂岩",3,IF(R299="黑色页岩",4,IF(R299="凝灰岩",5,""))))))</f>
        <v>0</v>
      </c>
    </row>
    <row r="300" spans="1:19" x14ac:dyDescent="0.2">
      <c r="A300" t="s">
        <v>33</v>
      </c>
      <c r="B300">
        <v>1335.6606999999999</v>
      </c>
      <c r="C300">
        <v>1340.1573000000001</v>
      </c>
      <c r="D300">
        <v>67.793529410000005</v>
      </c>
      <c r="E300">
        <v>2.8555779330000002</v>
      </c>
      <c r="F300">
        <v>205.12096339999999</v>
      </c>
      <c r="G300">
        <v>31.31710614</v>
      </c>
      <c r="H300">
        <v>29.33750405</v>
      </c>
      <c r="I300">
        <v>27.83825508</v>
      </c>
      <c r="J300">
        <v>27.646106670000002</v>
      </c>
      <c r="K300">
        <v>30.394076009999999</v>
      </c>
      <c r="L300">
        <v>238.75995660000001</v>
      </c>
      <c r="M300">
        <v>16.229198400000001</v>
      </c>
      <c r="N300">
        <v>2.5568539769999998</v>
      </c>
      <c r="O300">
        <v>-0.23963837099999999</v>
      </c>
      <c r="P300">
        <v>0.77560481800000003</v>
      </c>
      <c r="Q300" t="s">
        <v>19</v>
      </c>
      <c r="R300" t="s">
        <v>20</v>
      </c>
      <c r="S300">
        <f>IF(R300="粉砂质泥岩",0,IF(R300="暗色泥岩",1,IF(R300="非均质砂岩",2,IF(R300="均质砂岩",3,IF(R300="黑色页岩",4,IF(R300="凝灰岩",5,""))))))</f>
        <v>1</v>
      </c>
    </row>
    <row r="301" spans="1:19" x14ac:dyDescent="0.2">
      <c r="A301" t="s">
        <v>33</v>
      </c>
      <c r="B301">
        <v>1340.1573000000001</v>
      </c>
      <c r="C301">
        <v>1346.4002</v>
      </c>
      <c r="D301">
        <v>64.400180890000001</v>
      </c>
      <c r="E301">
        <v>2.748547979</v>
      </c>
      <c r="F301">
        <v>109.88940150000001</v>
      </c>
      <c r="G301">
        <v>37.26163468</v>
      </c>
      <c r="H301">
        <v>34.613435260000003</v>
      </c>
      <c r="I301">
        <v>32.852107179999997</v>
      </c>
      <c r="J301">
        <v>32.743530540000002</v>
      </c>
      <c r="K301">
        <v>36.013345190000003</v>
      </c>
      <c r="L301">
        <v>231.0779063</v>
      </c>
      <c r="M301">
        <v>12.233905719999999</v>
      </c>
      <c r="N301">
        <v>2.5656788910000001</v>
      </c>
      <c r="O301">
        <v>-6.7612085000000002E-2</v>
      </c>
      <c r="P301">
        <v>0.29944700600000002</v>
      </c>
      <c r="Q301" t="s">
        <v>19</v>
      </c>
      <c r="R301" t="s">
        <v>21</v>
      </c>
      <c r="S301">
        <f>IF(R301="粉砂质泥岩",0,IF(R301="暗色泥岩",1,IF(R301="非均质砂岩",2,IF(R301="均质砂岩",3,IF(R301="黑色页岩",4,IF(R301="凝灰岩",5,""))))))</f>
        <v>2</v>
      </c>
    </row>
    <row r="302" spans="1:19" x14ac:dyDescent="0.2">
      <c r="A302" t="s">
        <v>33</v>
      </c>
      <c r="B302">
        <v>1346.4002</v>
      </c>
      <c r="C302">
        <v>1353.5975000000001</v>
      </c>
      <c r="D302">
        <v>67.158572570000004</v>
      </c>
      <c r="E302">
        <v>3.0017749409999999</v>
      </c>
      <c r="F302">
        <v>138.30836400000001</v>
      </c>
      <c r="G302">
        <v>33.400613300000003</v>
      </c>
      <c r="H302">
        <v>29.239953799999999</v>
      </c>
      <c r="I302">
        <v>28.295157740000001</v>
      </c>
      <c r="J302">
        <v>27.543779659999998</v>
      </c>
      <c r="K302">
        <v>29.73465173</v>
      </c>
      <c r="L302">
        <v>232.23725630000001</v>
      </c>
      <c r="M302">
        <v>14.419736439999999</v>
      </c>
      <c r="N302">
        <v>2.629282313</v>
      </c>
      <c r="O302">
        <v>-0.109954933</v>
      </c>
      <c r="P302">
        <v>0.44154181999999997</v>
      </c>
      <c r="Q302" t="s">
        <v>19</v>
      </c>
      <c r="R302" t="s">
        <v>22</v>
      </c>
      <c r="S302">
        <f>IF(R302="粉砂质泥岩",0,IF(R302="暗色泥岩",1,IF(R302="非均质砂岩",2,IF(R302="均质砂岩",3,IF(R302="黑色页岩",4,IF(R302="凝灰岩",5,""))))))</f>
        <v>0</v>
      </c>
    </row>
    <row r="303" spans="1:19" x14ac:dyDescent="0.2">
      <c r="A303" t="s">
        <v>33</v>
      </c>
      <c r="B303">
        <v>1353.6545000000001</v>
      </c>
      <c r="C303">
        <v>1354.5542</v>
      </c>
      <c r="D303">
        <v>66.518356319999995</v>
      </c>
      <c r="E303">
        <v>3.3828449850000002</v>
      </c>
      <c r="F303">
        <v>172.56303600000001</v>
      </c>
      <c r="G303">
        <v>22.86559892</v>
      </c>
      <c r="H303">
        <v>20.787425639999999</v>
      </c>
      <c r="I303">
        <v>21.338203190000002</v>
      </c>
      <c r="J303">
        <v>20.543576479999999</v>
      </c>
      <c r="K303">
        <v>21.853698609999999</v>
      </c>
      <c r="L303">
        <v>252.42051889999999</v>
      </c>
      <c r="M303">
        <v>19.747136829999999</v>
      </c>
      <c r="N303">
        <v>2.6487826999999999</v>
      </c>
      <c r="O303">
        <v>-0.21353897999999999</v>
      </c>
      <c r="P303">
        <v>0.61281518599999996</v>
      </c>
      <c r="Q303" t="s">
        <v>19</v>
      </c>
      <c r="R303" t="s">
        <v>20</v>
      </c>
      <c r="S303">
        <f>IF(R303="粉砂质泥岩",0,IF(R303="暗色泥岩",1,IF(R303="非均质砂岩",2,IF(R303="均质砂岩",3,IF(R303="黑色页岩",4,IF(R303="凝灰岩",5,""))))))</f>
        <v>1</v>
      </c>
    </row>
    <row r="304" spans="1:19" x14ac:dyDescent="0.2">
      <c r="A304" t="s">
        <v>33</v>
      </c>
      <c r="B304">
        <v>1354.5542</v>
      </c>
      <c r="C304">
        <v>1358.4694999999999</v>
      </c>
      <c r="D304">
        <v>65.518349650000005</v>
      </c>
      <c r="E304">
        <v>3.1263176349999999</v>
      </c>
      <c r="F304">
        <v>149.0605841</v>
      </c>
      <c r="G304">
        <v>32.168355460000001</v>
      </c>
      <c r="H304">
        <v>27.931808140000001</v>
      </c>
      <c r="I304">
        <v>28.181939419999999</v>
      </c>
      <c r="J304">
        <v>27.338453260000001</v>
      </c>
      <c r="K304">
        <v>29.456820189999998</v>
      </c>
      <c r="L304">
        <v>233.17713979999999</v>
      </c>
      <c r="M304">
        <v>15.76564226</v>
      </c>
      <c r="N304">
        <v>2.6444672119999999</v>
      </c>
      <c r="O304">
        <v>-0.12891524100000001</v>
      </c>
      <c r="P304">
        <v>0.49530292100000001</v>
      </c>
      <c r="Q304" t="s">
        <v>19</v>
      </c>
      <c r="R304" t="s">
        <v>22</v>
      </c>
      <c r="S304">
        <f>IF(R304="粉砂质泥岩",0,IF(R304="暗色泥岩",1,IF(R304="非均质砂岩",2,IF(R304="均质砂岩",3,IF(R304="黑色页岩",4,IF(R304="凝灰岩",5,""))))))</f>
        <v>0</v>
      </c>
    </row>
    <row r="305" spans="1:19" x14ac:dyDescent="0.2">
      <c r="A305" t="s">
        <v>33</v>
      </c>
      <c r="B305">
        <v>1358.4694999999999</v>
      </c>
      <c r="C305">
        <v>1359.7399</v>
      </c>
      <c r="D305">
        <v>62.532307709999998</v>
      </c>
      <c r="E305">
        <v>2.7225215650000001</v>
      </c>
      <c r="F305">
        <v>234.79776419999999</v>
      </c>
      <c r="G305">
        <v>33.185636170000002</v>
      </c>
      <c r="H305">
        <v>29.186577280000002</v>
      </c>
      <c r="I305">
        <v>30.148867689999999</v>
      </c>
      <c r="J305">
        <v>30.594174039999999</v>
      </c>
      <c r="K305">
        <v>34.059207829999998</v>
      </c>
      <c r="L305">
        <v>249.36259459999999</v>
      </c>
      <c r="M305">
        <v>17.179418819999999</v>
      </c>
      <c r="N305">
        <v>2.5156020469999998</v>
      </c>
      <c r="O305">
        <v>-0.26556808300000001</v>
      </c>
      <c r="P305">
        <v>0.92398882500000001</v>
      </c>
      <c r="Q305" t="s">
        <v>19</v>
      </c>
      <c r="R305" t="s">
        <v>20</v>
      </c>
      <c r="S305">
        <f>IF(R305="粉砂质泥岩",0,IF(R305="暗色泥岩",1,IF(R305="非均质砂岩",2,IF(R305="均质砂岩",3,IF(R305="黑色页岩",4,IF(R305="凝灰岩",5,""))))))</f>
        <v>1</v>
      </c>
    </row>
    <row r="306" spans="1:19" x14ac:dyDescent="0.2">
      <c r="A306" t="s">
        <v>33</v>
      </c>
      <c r="B306">
        <v>1359.7399</v>
      </c>
      <c r="C306">
        <v>1361.4331999999999</v>
      </c>
      <c r="D306">
        <v>61.37334061</v>
      </c>
      <c r="E306">
        <v>2.5111109420000002</v>
      </c>
      <c r="F306">
        <v>223.82557779999999</v>
      </c>
      <c r="G306">
        <v>46.329676310000004</v>
      </c>
      <c r="H306">
        <v>39.464220050000002</v>
      </c>
      <c r="I306">
        <v>40.085618719999999</v>
      </c>
      <c r="J306">
        <v>39.896365359999997</v>
      </c>
      <c r="K306">
        <v>44.739055759999999</v>
      </c>
      <c r="L306">
        <v>261.87846880000001</v>
      </c>
      <c r="M306">
        <v>19.399714660000001</v>
      </c>
      <c r="N306">
        <v>2.4561211269999998</v>
      </c>
      <c r="O306">
        <v>-8.3348032000000002E-2</v>
      </c>
      <c r="P306">
        <v>0.86912789300000004</v>
      </c>
      <c r="Q306" t="s">
        <v>19</v>
      </c>
      <c r="R306" t="s">
        <v>21</v>
      </c>
      <c r="S306">
        <f>IF(R306="粉砂质泥岩",0,IF(R306="暗色泥岩",1,IF(R306="非均质砂岩",2,IF(R306="均质砂岩",3,IF(R306="黑色页岩",4,IF(R306="凝灰岩",5,""))))))</f>
        <v>2</v>
      </c>
    </row>
    <row r="307" spans="1:19" x14ac:dyDescent="0.2">
      <c r="A307" t="s">
        <v>33</v>
      </c>
      <c r="B307">
        <v>1361.4331999999999</v>
      </c>
      <c r="C307">
        <v>1362.7022999999999</v>
      </c>
      <c r="D307">
        <v>60.303748390000003</v>
      </c>
      <c r="E307">
        <v>3.025195772</v>
      </c>
      <c r="F307">
        <v>271.97646120000002</v>
      </c>
      <c r="G307">
        <v>53.282668030000004</v>
      </c>
      <c r="H307">
        <v>40.539313579999998</v>
      </c>
      <c r="I307">
        <v>38.631517240000001</v>
      </c>
      <c r="J307">
        <v>39.072093959999997</v>
      </c>
      <c r="K307">
        <v>44.663466370000002</v>
      </c>
      <c r="L307">
        <v>259.60430079999998</v>
      </c>
      <c r="M307">
        <v>20.425510410000001</v>
      </c>
      <c r="N307">
        <v>2.508275314</v>
      </c>
      <c r="O307">
        <v>-0.25638376699999998</v>
      </c>
      <c r="P307">
        <v>1.109882306</v>
      </c>
      <c r="Q307" t="s">
        <v>19</v>
      </c>
      <c r="R307" t="s">
        <v>20</v>
      </c>
      <c r="S307">
        <f>IF(R307="粉砂质泥岩",0,IF(R307="暗色泥岩",1,IF(R307="非均质砂岩",2,IF(R307="均质砂岩",3,IF(R307="黑色页岩",4,IF(R307="凝灰岩",5,""))))))</f>
        <v>1</v>
      </c>
    </row>
    <row r="308" spans="1:19" x14ac:dyDescent="0.2">
      <c r="A308" t="s">
        <v>33</v>
      </c>
      <c r="B308">
        <v>1362.7022999999999</v>
      </c>
      <c r="C308">
        <v>1363.9730999999999</v>
      </c>
      <c r="D308">
        <v>59.292378859999999</v>
      </c>
      <c r="E308">
        <v>2.5512096670000002</v>
      </c>
      <c r="F308">
        <v>320.67647210000001</v>
      </c>
      <c r="G308">
        <v>48.857546720000002</v>
      </c>
      <c r="H308">
        <v>35.312676340000003</v>
      </c>
      <c r="I308">
        <v>32.186338769999999</v>
      </c>
      <c r="J308">
        <v>33.422805959999998</v>
      </c>
      <c r="K308">
        <v>38.910076660000001</v>
      </c>
      <c r="L308">
        <v>274.11472670000001</v>
      </c>
      <c r="M308">
        <v>23.845235649999999</v>
      </c>
      <c r="N308">
        <v>2.3764841990000001</v>
      </c>
      <c r="O308">
        <v>-7.4507629000000006E-2</v>
      </c>
      <c r="P308">
        <v>1.3533823599999999</v>
      </c>
      <c r="Q308" t="s">
        <v>19</v>
      </c>
      <c r="R308" t="s">
        <v>21</v>
      </c>
      <c r="S308">
        <f>IF(R308="粉砂质泥岩",0,IF(R308="暗色泥岩",1,IF(R308="非均质砂岩",2,IF(R308="均质砂岩",3,IF(R308="黑色页岩",4,IF(R308="凝灰岩",5,""))))))</f>
        <v>2</v>
      </c>
    </row>
    <row r="309" spans="1:19" x14ac:dyDescent="0.2">
      <c r="A309" t="s">
        <v>33</v>
      </c>
      <c r="B309">
        <v>1363.9730999999999</v>
      </c>
      <c r="C309">
        <v>1372.3329000000001</v>
      </c>
      <c r="D309">
        <v>57.82263038</v>
      </c>
      <c r="E309">
        <v>3.9482073359999998</v>
      </c>
      <c r="F309">
        <v>579.3866299</v>
      </c>
      <c r="G309">
        <v>57.766579540000002</v>
      </c>
      <c r="H309">
        <v>46.512013600000003</v>
      </c>
      <c r="I309">
        <v>48.306920720000001</v>
      </c>
      <c r="J309">
        <v>56.168971540000001</v>
      </c>
      <c r="K309">
        <v>73.247028319999998</v>
      </c>
      <c r="L309">
        <v>361.53498889999997</v>
      </c>
      <c r="M309">
        <v>40.90428198</v>
      </c>
      <c r="N309">
        <v>2.1987664169999999</v>
      </c>
      <c r="O309">
        <v>-0.283256703</v>
      </c>
      <c r="P309">
        <v>2.6469331559999998</v>
      </c>
      <c r="Q309" t="s">
        <v>19</v>
      </c>
      <c r="R309" t="s">
        <v>25</v>
      </c>
      <c r="S309">
        <f>IF(R309="粉砂质泥岩",0,IF(R309="暗色泥岩",1,IF(R309="非均质砂岩",2,IF(R309="均质砂岩",3,IF(R309="黑色页岩",4,IF(R309="凝灰岩",5,""))))))</f>
        <v>4</v>
      </c>
    </row>
    <row r="310" spans="1:19" x14ac:dyDescent="0.2">
      <c r="A310" t="s">
        <v>33</v>
      </c>
      <c r="B310">
        <v>1372.3329000000001</v>
      </c>
      <c r="C310">
        <v>1376.3553999999999</v>
      </c>
      <c r="D310">
        <v>56.622790479999999</v>
      </c>
      <c r="E310">
        <v>3.1801402639999998</v>
      </c>
      <c r="F310">
        <v>331.1443898</v>
      </c>
      <c r="G310">
        <v>48.687122000000002</v>
      </c>
      <c r="H310">
        <v>46.421813270000001</v>
      </c>
      <c r="I310">
        <v>59.088346309999999</v>
      </c>
      <c r="J310">
        <v>59.313595630000002</v>
      </c>
      <c r="K310">
        <v>73.952135380000001</v>
      </c>
      <c r="L310">
        <v>292.82236920000003</v>
      </c>
      <c r="M310">
        <v>25.41778085</v>
      </c>
      <c r="N310">
        <v>2.3820801500000002</v>
      </c>
      <c r="O310">
        <v>-0.28195667000000002</v>
      </c>
      <c r="P310">
        <v>1.405721955</v>
      </c>
      <c r="Q310" t="s">
        <v>19</v>
      </c>
      <c r="R310" t="s">
        <v>20</v>
      </c>
      <c r="S310">
        <f>IF(R310="粉砂质泥岩",0,IF(R310="暗色泥岩",1,IF(R310="非均质砂岩",2,IF(R310="均质砂岩",3,IF(R310="黑色页岩",4,IF(R310="凝灰岩",5,""))))))</f>
        <v>1</v>
      </c>
    </row>
    <row r="311" spans="1:19" x14ac:dyDescent="0.2">
      <c r="A311" t="s">
        <v>33</v>
      </c>
      <c r="B311">
        <v>1376.3553999999999</v>
      </c>
      <c r="C311">
        <v>1380.5911000000001</v>
      </c>
      <c r="D311">
        <v>58.519082640000001</v>
      </c>
      <c r="E311">
        <v>2.8906002320000002</v>
      </c>
      <c r="F311">
        <v>226.0000575</v>
      </c>
      <c r="G311">
        <v>91.414596340000003</v>
      </c>
      <c r="H311">
        <v>64.219568420000002</v>
      </c>
      <c r="I311">
        <v>63.712411500000002</v>
      </c>
      <c r="J311">
        <v>68.982920350000001</v>
      </c>
      <c r="K311">
        <v>91.300611439999997</v>
      </c>
      <c r="L311">
        <v>276.59736679999997</v>
      </c>
      <c r="M311">
        <v>21.065729220000001</v>
      </c>
      <c r="N311">
        <v>2.4338788849999999</v>
      </c>
      <c r="O311">
        <v>-6.9822119000000002E-2</v>
      </c>
      <c r="P311">
        <v>0.88000028200000002</v>
      </c>
      <c r="Q311" t="s">
        <v>19</v>
      </c>
      <c r="R311" t="s">
        <v>21</v>
      </c>
      <c r="S311">
        <f>IF(R311="粉砂质泥岩",0,IF(R311="暗色泥岩",1,IF(R311="非均质砂岩",2,IF(R311="均质砂岩",3,IF(R311="黑色页岩",4,IF(R311="凝灰岩",5,""))))))</f>
        <v>2</v>
      </c>
    </row>
    <row r="312" spans="1:19" x14ac:dyDescent="0.2">
      <c r="A312" t="s">
        <v>33</v>
      </c>
      <c r="B312">
        <v>1380.5911000000001</v>
      </c>
      <c r="C312">
        <v>1381.8595</v>
      </c>
      <c r="D312">
        <v>61.086470519999999</v>
      </c>
      <c r="E312">
        <v>2.7661924579999999</v>
      </c>
      <c r="F312">
        <v>191.6940932</v>
      </c>
      <c r="G312">
        <v>20.016853510000001</v>
      </c>
      <c r="H312">
        <v>20.199909380000001</v>
      </c>
      <c r="I312">
        <v>22.172900890000001</v>
      </c>
      <c r="J312">
        <v>20.369641219999998</v>
      </c>
      <c r="K312">
        <v>22.069896180000001</v>
      </c>
      <c r="L312">
        <v>293.11626360000002</v>
      </c>
      <c r="M312">
        <v>22.932449859999998</v>
      </c>
      <c r="N312">
        <v>2.4886192629999999</v>
      </c>
      <c r="O312">
        <v>-0.286814921</v>
      </c>
      <c r="P312">
        <v>0.70847046400000002</v>
      </c>
      <c r="Q312" t="s">
        <v>19</v>
      </c>
      <c r="R312" t="s">
        <v>24</v>
      </c>
      <c r="S312">
        <f>IF(R312="粉砂质泥岩",0,IF(R312="暗色泥岩",1,IF(R312="非均质砂岩",2,IF(R312="均质砂岩",3,IF(R312="黑色页岩",4,IF(R312="凝灰岩",5,""))))))</f>
        <v>5</v>
      </c>
    </row>
    <row r="313" spans="1:19" x14ac:dyDescent="0.2">
      <c r="A313" t="s">
        <v>34</v>
      </c>
      <c r="B313">
        <v>1581.1242</v>
      </c>
      <c r="C313">
        <v>1582.3958</v>
      </c>
      <c r="D313">
        <v>68.524553569999995</v>
      </c>
      <c r="E313">
        <v>3.281541909</v>
      </c>
      <c r="F313">
        <v>167.67610930000001</v>
      </c>
      <c r="G313">
        <v>34.107129639999997</v>
      </c>
      <c r="H313">
        <v>36.9846389</v>
      </c>
      <c r="I313">
        <v>37.702538220000001</v>
      </c>
      <c r="J313">
        <v>38.678779740000003</v>
      </c>
      <c r="K313">
        <v>40.584032329999999</v>
      </c>
      <c r="L313">
        <v>275.47807089999998</v>
      </c>
      <c r="M313">
        <v>34.014986579999999</v>
      </c>
      <c r="N313">
        <v>2.4885844330000002</v>
      </c>
      <c r="O313">
        <v>-0.156565757</v>
      </c>
      <c r="P313">
        <v>0.58838055</v>
      </c>
      <c r="Q313" t="s">
        <v>19</v>
      </c>
      <c r="R313" t="s">
        <v>20</v>
      </c>
      <c r="S313">
        <f>IF(R313="粉砂质泥岩",0,IF(R313="暗色泥岩",1,IF(R313="非均质砂岩",2,IF(R313="均质砂岩",3,IF(R313="黑色页岩",4,IF(R313="凝灰岩",5,""))))))</f>
        <v>1</v>
      </c>
    </row>
    <row r="314" spans="1:19" x14ac:dyDescent="0.2">
      <c r="A314" t="s">
        <v>34</v>
      </c>
      <c r="B314">
        <v>1582.463</v>
      </c>
      <c r="C314">
        <v>1586.0600999999999</v>
      </c>
      <c r="D314">
        <v>70.886672970000006</v>
      </c>
      <c r="E314">
        <v>3.1440967610000001</v>
      </c>
      <c r="F314">
        <v>135.64539339999999</v>
      </c>
      <c r="G314">
        <v>26.173755079999999</v>
      </c>
      <c r="H314">
        <v>25.36683433</v>
      </c>
      <c r="I314">
        <v>25.13263001</v>
      </c>
      <c r="J314">
        <v>25.862811319999999</v>
      </c>
      <c r="K314">
        <v>26.838453040000001</v>
      </c>
      <c r="L314">
        <v>247.46726000000001</v>
      </c>
      <c r="M314">
        <v>26.67155812</v>
      </c>
      <c r="N314">
        <v>2.6039744969999998</v>
      </c>
      <c r="O314">
        <v>-0.109146877</v>
      </c>
      <c r="P314">
        <v>0.42822696799999999</v>
      </c>
      <c r="Q314" t="s">
        <v>19</v>
      </c>
      <c r="R314" t="s">
        <v>22</v>
      </c>
      <c r="S314">
        <f>IF(R314="粉砂质泥岩",0,IF(R314="暗色泥岩",1,IF(R314="非均质砂岩",2,IF(R314="均质砂岩",3,IF(R314="黑色页岩",4,IF(R314="凝灰岩",5,""))))))</f>
        <v>0</v>
      </c>
    </row>
    <row r="315" spans="1:19" x14ac:dyDescent="0.2">
      <c r="A315" t="s">
        <v>34</v>
      </c>
      <c r="B315">
        <v>1586.0600999999999</v>
      </c>
      <c r="C315">
        <v>1586.7465999999999</v>
      </c>
      <c r="D315">
        <v>68.314852709999997</v>
      </c>
      <c r="E315">
        <v>2.917646736</v>
      </c>
      <c r="F315">
        <v>156.51349070000001</v>
      </c>
      <c r="G315">
        <v>54.033061500000002</v>
      </c>
      <c r="H315">
        <v>40.974444869999999</v>
      </c>
      <c r="I315">
        <v>38.648015979999997</v>
      </c>
      <c r="J315">
        <v>39.058527470000001</v>
      </c>
      <c r="K315">
        <v>39.468562130000002</v>
      </c>
      <c r="L315">
        <v>251.30998990000001</v>
      </c>
      <c r="M315">
        <v>24.76718473</v>
      </c>
      <c r="N315">
        <v>2.5668943820000001</v>
      </c>
      <c r="O315">
        <v>-0.178916197</v>
      </c>
      <c r="P315">
        <v>0.53256744499999997</v>
      </c>
      <c r="Q315" t="s">
        <v>19</v>
      </c>
      <c r="R315" t="s">
        <v>20</v>
      </c>
      <c r="S315">
        <f>IF(R315="粉砂质泥岩",0,IF(R315="暗色泥岩",1,IF(R315="非均质砂岩",2,IF(R315="均质砂岩",3,IF(R315="黑色页岩",4,IF(R315="凝灰岩",5,""))))))</f>
        <v>1</v>
      </c>
    </row>
    <row r="316" spans="1:19" x14ac:dyDescent="0.2">
      <c r="A316" t="s">
        <v>34</v>
      </c>
      <c r="B316">
        <v>1586.7465999999999</v>
      </c>
      <c r="C316">
        <v>1587.9121</v>
      </c>
      <c r="D316">
        <v>67.956070530000005</v>
      </c>
      <c r="E316">
        <v>2.6119856650000002</v>
      </c>
      <c r="F316">
        <v>78.881510219999996</v>
      </c>
      <c r="G316">
        <v>28.213905189999998</v>
      </c>
      <c r="H316">
        <v>28.808515109999998</v>
      </c>
      <c r="I316">
        <v>28.447966359999999</v>
      </c>
      <c r="J316">
        <v>28.627596050000001</v>
      </c>
      <c r="K316">
        <v>28.965537139999999</v>
      </c>
      <c r="L316">
        <v>234.81901550000001</v>
      </c>
      <c r="M316">
        <v>15.40619615</v>
      </c>
      <c r="N316">
        <v>2.5573473340000001</v>
      </c>
      <c r="O316">
        <v>-2.801524E-2</v>
      </c>
      <c r="P316">
        <v>0.144407547</v>
      </c>
      <c r="Q316" t="s">
        <v>19</v>
      </c>
      <c r="R316" t="s">
        <v>21</v>
      </c>
      <c r="S316">
        <f>IF(R316="粉砂质泥岩",0,IF(R316="暗色泥岩",1,IF(R316="非均质砂岩",2,IF(R316="均质砂岩",3,IF(R316="黑色页岩",4,IF(R316="凝灰岩",5,""))))))</f>
        <v>2</v>
      </c>
    </row>
    <row r="317" spans="1:19" x14ac:dyDescent="0.2">
      <c r="A317" t="s">
        <v>34</v>
      </c>
      <c r="B317">
        <v>1587.9121</v>
      </c>
      <c r="C317">
        <v>1589.4467</v>
      </c>
      <c r="D317">
        <v>69.870890619999997</v>
      </c>
      <c r="E317">
        <v>2.5423246179999999</v>
      </c>
      <c r="F317">
        <v>150.74202199999999</v>
      </c>
      <c r="G317">
        <v>8.5809367900000009</v>
      </c>
      <c r="H317">
        <v>10.52033561</v>
      </c>
      <c r="I317">
        <v>11.14279941</v>
      </c>
      <c r="J317">
        <v>12.023597479999999</v>
      </c>
      <c r="K317">
        <v>12.731255770000001</v>
      </c>
      <c r="L317">
        <v>258.16266439999998</v>
      </c>
      <c r="M317">
        <v>26.929233790000001</v>
      </c>
      <c r="N317">
        <v>2.4066231550000001</v>
      </c>
      <c r="O317">
        <v>-0.14608971100000001</v>
      </c>
      <c r="P317">
        <v>0.50371011099999996</v>
      </c>
      <c r="Q317" t="s">
        <v>19</v>
      </c>
      <c r="R317" t="s">
        <v>24</v>
      </c>
      <c r="S317">
        <f>IF(R317="粉砂质泥岩",0,IF(R317="暗色泥岩",1,IF(R317="非均质砂岩",2,IF(R317="均质砂岩",3,IF(R317="黑色页岩",4,IF(R317="凝灰岩",5,""))))))</f>
        <v>5</v>
      </c>
    </row>
    <row r="318" spans="1:19" x14ac:dyDescent="0.2">
      <c r="A318" t="s">
        <v>34</v>
      </c>
      <c r="B318">
        <v>1589.4467</v>
      </c>
      <c r="C318">
        <v>1590.9295999999999</v>
      </c>
      <c r="D318">
        <v>68.218206409999993</v>
      </c>
      <c r="E318">
        <v>3.1620924920000002</v>
      </c>
      <c r="F318">
        <v>126.7853975</v>
      </c>
      <c r="G318">
        <v>24.13978899</v>
      </c>
      <c r="H318">
        <v>23.599682569999999</v>
      </c>
      <c r="I318">
        <v>23.964390340000001</v>
      </c>
      <c r="J318">
        <v>25.544030549999999</v>
      </c>
      <c r="K318">
        <v>26.724513290000001</v>
      </c>
      <c r="L318">
        <v>239.474535</v>
      </c>
      <c r="M318">
        <v>22.210122470000002</v>
      </c>
      <c r="N318">
        <v>2.6006879810000001</v>
      </c>
      <c r="O318">
        <v>-0.105716596</v>
      </c>
      <c r="P318">
        <v>0.38392699000000002</v>
      </c>
      <c r="Q318" t="s">
        <v>19</v>
      </c>
      <c r="R318" t="s">
        <v>22</v>
      </c>
      <c r="S318">
        <f>IF(R318="粉砂质泥岩",0,IF(R318="暗色泥岩",1,IF(R318="非均质砂岩",2,IF(R318="均质砂岩",3,IF(R318="黑色页岩",4,IF(R318="凝灰岩",5,""))))))</f>
        <v>0</v>
      </c>
    </row>
    <row r="319" spans="1:19" x14ac:dyDescent="0.2">
      <c r="A319" t="s">
        <v>34</v>
      </c>
      <c r="B319">
        <v>1590.9295999999999</v>
      </c>
      <c r="C319">
        <v>1592.2511</v>
      </c>
      <c r="D319">
        <v>65.949608940000005</v>
      </c>
      <c r="E319">
        <v>2.9893259830000001</v>
      </c>
      <c r="F319">
        <v>88.752882279999994</v>
      </c>
      <c r="G319">
        <v>40.819206510000001</v>
      </c>
      <c r="H319">
        <v>33.88215855</v>
      </c>
      <c r="I319">
        <v>32.50651809</v>
      </c>
      <c r="J319">
        <v>33.160517149999997</v>
      </c>
      <c r="K319">
        <v>33.97270339</v>
      </c>
      <c r="L319">
        <v>229.87013139999999</v>
      </c>
      <c r="M319">
        <v>17.048557760000001</v>
      </c>
      <c r="N319">
        <v>2.5799366579999998</v>
      </c>
      <c r="O319">
        <v>-1.7148103000000001E-2</v>
      </c>
      <c r="P319">
        <v>0.19376441</v>
      </c>
      <c r="Q319" t="s">
        <v>19</v>
      </c>
      <c r="R319" t="s">
        <v>23</v>
      </c>
      <c r="S319">
        <f>IF(R319="粉砂质泥岩",0,IF(R319="暗色泥岩",1,IF(R319="非均质砂岩",2,IF(R319="均质砂岩",3,IF(R319="黑色页岩",4,IF(R319="凝灰岩",5,""))))))</f>
        <v>3</v>
      </c>
    </row>
    <row r="320" spans="1:19" x14ac:dyDescent="0.2">
      <c r="A320" t="s">
        <v>34</v>
      </c>
      <c r="B320">
        <v>1592.2511</v>
      </c>
      <c r="C320">
        <v>1593.3094000000001</v>
      </c>
      <c r="D320">
        <v>66.688803989999997</v>
      </c>
      <c r="E320">
        <v>3.1049889130000001</v>
      </c>
      <c r="F320">
        <v>108.68663909999999</v>
      </c>
      <c r="G320">
        <v>32.80806621</v>
      </c>
      <c r="H320">
        <v>27.843622679999999</v>
      </c>
      <c r="I320">
        <v>27.499961379999998</v>
      </c>
      <c r="J320">
        <v>28.265801589999999</v>
      </c>
      <c r="K320">
        <v>29.41867749</v>
      </c>
      <c r="L320">
        <v>233.221845</v>
      </c>
      <c r="M320">
        <v>20.402444840000001</v>
      </c>
      <c r="N320">
        <v>2.6074707909999999</v>
      </c>
      <c r="O320">
        <v>-0.107044101</v>
      </c>
      <c r="P320">
        <v>0.29343319200000001</v>
      </c>
      <c r="Q320" t="s">
        <v>19</v>
      </c>
      <c r="R320" t="s">
        <v>22</v>
      </c>
      <c r="S320">
        <f>IF(R320="粉砂质泥岩",0,IF(R320="暗色泥岩",1,IF(R320="非均质砂岩",2,IF(R320="均质砂岩",3,IF(R320="黑色页岩",4,IF(R320="凝灰岩",5,""))))))</f>
        <v>0</v>
      </c>
    </row>
    <row r="321" spans="1:19" x14ac:dyDescent="0.2">
      <c r="A321" t="s">
        <v>34</v>
      </c>
      <c r="B321">
        <v>1593.3094000000001</v>
      </c>
      <c r="C321">
        <v>1595.0027</v>
      </c>
      <c r="D321">
        <v>66.294658240000004</v>
      </c>
      <c r="E321">
        <v>2.7973146569999998</v>
      </c>
      <c r="F321">
        <v>83.624679990000004</v>
      </c>
      <c r="G321">
        <v>45.169204819999997</v>
      </c>
      <c r="H321">
        <v>37.372250870000002</v>
      </c>
      <c r="I321">
        <v>36.869949230000003</v>
      </c>
      <c r="J321">
        <v>38.155265489999998</v>
      </c>
      <c r="K321">
        <v>40.066658439999998</v>
      </c>
      <c r="L321">
        <v>221.3587545</v>
      </c>
      <c r="M321">
        <v>16.63532464</v>
      </c>
      <c r="N321">
        <v>2.550648861</v>
      </c>
      <c r="O321">
        <v>1.7057742000000001E-2</v>
      </c>
      <c r="P321">
        <v>0.16812339800000001</v>
      </c>
      <c r="Q321" t="s">
        <v>19</v>
      </c>
      <c r="R321" t="s">
        <v>21</v>
      </c>
      <c r="S321">
        <f>IF(R321="粉砂质泥岩",0,IF(R321="暗色泥岩",1,IF(R321="非均质砂岩",2,IF(R321="均质砂岩",3,IF(R321="黑色页岩",4,IF(R321="凝灰岩",5,""))))))</f>
        <v>2</v>
      </c>
    </row>
    <row r="322" spans="1:19" x14ac:dyDescent="0.2">
      <c r="A322" t="s">
        <v>34</v>
      </c>
      <c r="B322">
        <v>1595.0027</v>
      </c>
      <c r="C322">
        <v>1595.6907000000001</v>
      </c>
      <c r="D322">
        <v>65.840995789999994</v>
      </c>
      <c r="E322">
        <v>2.9216843840000002</v>
      </c>
      <c r="F322">
        <v>105.3891649</v>
      </c>
      <c r="G322">
        <v>35.995403289999999</v>
      </c>
      <c r="H322">
        <v>27.115038869999999</v>
      </c>
      <c r="I322">
        <v>26.132741209999999</v>
      </c>
      <c r="J322">
        <v>26.724125390000001</v>
      </c>
      <c r="K322">
        <v>27.527526859999998</v>
      </c>
      <c r="L322">
        <v>234.1232128</v>
      </c>
      <c r="M322">
        <v>21.341919659999999</v>
      </c>
      <c r="N322">
        <v>2.5865378680000002</v>
      </c>
      <c r="O322">
        <v>-0.102633482</v>
      </c>
      <c r="P322">
        <v>0.276945828</v>
      </c>
      <c r="Q322" t="s">
        <v>19</v>
      </c>
      <c r="R322" t="s">
        <v>22</v>
      </c>
      <c r="S322">
        <f>IF(R322="粉砂质泥岩",0,IF(R322="暗色泥岩",1,IF(R322="非均质砂岩",2,IF(R322="均质砂岩",3,IF(R322="黑色页岩",4,IF(R322="凝灰岩",5,""))))))</f>
        <v>0</v>
      </c>
    </row>
    <row r="323" spans="1:19" x14ac:dyDescent="0.2">
      <c r="A323" t="s">
        <v>34</v>
      </c>
      <c r="B323">
        <v>1595.6907000000001</v>
      </c>
      <c r="C323">
        <v>1597.1194</v>
      </c>
      <c r="D323">
        <v>63.688856510000001</v>
      </c>
      <c r="E323">
        <v>2.8381450020000001</v>
      </c>
      <c r="F323">
        <v>95.39805552</v>
      </c>
      <c r="G323">
        <v>41.9175209</v>
      </c>
      <c r="H323">
        <v>32.317591989999997</v>
      </c>
      <c r="I323">
        <v>31.15566673</v>
      </c>
      <c r="J323">
        <v>32.223597839999996</v>
      </c>
      <c r="K323">
        <v>33.283099749999998</v>
      </c>
      <c r="L323">
        <v>238.22947590000001</v>
      </c>
      <c r="M323">
        <v>19.457437639999998</v>
      </c>
      <c r="N323">
        <v>2.55300897</v>
      </c>
      <c r="O323">
        <v>-1.5036681999999999E-2</v>
      </c>
      <c r="P323">
        <v>0.22699027799999999</v>
      </c>
      <c r="Q323" t="s">
        <v>19</v>
      </c>
      <c r="R323" t="s">
        <v>21</v>
      </c>
      <c r="S323">
        <f>IF(R323="粉砂质泥岩",0,IF(R323="暗色泥岩",1,IF(R323="非均质砂岩",2,IF(R323="均质砂岩",3,IF(R323="黑色页岩",4,IF(R323="凝灰岩",5,""))))))</f>
        <v>2</v>
      </c>
    </row>
    <row r="324" spans="1:19" x14ac:dyDescent="0.2">
      <c r="A324" t="s">
        <v>34</v>
      </c>
      <c r="B324">
        <v>1597.1194</v>
      </c>
      <c r="C324">
        <v>1597.8072999999999</v>
      </c>
      <c r="D324">
        <v>62.065042499999997</v>
      </c>
      <c r="E324">
        <v>2.853522092</v>
      </c>
      <c r="F324">
        <v>101.39323039999999</v>
      </c>
      <c r="G324">
        <v>33.973687409999997</v>
      </c>
      <c r="H324">
        <v>29.394679549999999</v>
      </c>
      <c r="I324">
        <v>28.888534549999999</v>
      </c>
      <c r="J324">
        <v>29.573010440000001</v>
      </c>
      <c r="K324">
        <v>30.50447059</v>
      </c>
      <c r="L324">
        <v>231.29522900000001</v>
      </c>
      <c r="M324">
        <v>18.541882040000001</v>
      </c>
      <c r="N324">
        <v>2.5719853339999998</v>
      </c>
      <c r="O324">
        <v>-9.3437594999999998E-2</v>
      </c>
      <c r="P324">
        <v>0.25696615499999997</v>
      </c>
      <c r="Q324" t="s">
        <v>19</v>
      </c>
      <c r="R324" t="s">
        <v>22</v>
      </c>
      <c r="S324">
        <f>IF(R324="粉砂质泥岩",0,IF(R324="暗色泥岩",1,IF(R324="非均质砂岩",2,IF(R324="均质砂岩",3,IF(R324="黑色页岩",4,IF(R324="凝灰岩",5,""))))))</f>
        <v>0</v>
      </c>
    </row>
    <row r="325" spans="1:19" x14ac:dyDescent="0.2">
      <c r="A325" t="s">
        <v>34</v>
      </c>
      <c r="B325">
        <v>1597.8072999999999</v>
      </c>
      <c r="C325">
        <v>1599.7643</v>
      </c>
      <c r="D325">
        <v>60.738650550000003</v>
      </c>
      <c r="E325">
        <v>2.786239374</v>
      </c>
      <c r="F325">
        <v>81.13266754</v>
      </c>
      <c r="G325">
        <v>36.965545290000001</v>
      </c>
      <c r="H325">
        <v>26.916263310000001</v>
      </c>
      <c r="I325">
        <v>26.72705796</v>
      </c>
      <c r="J325">
        <v>29.44602703</v>
      </c>
      <c r="K325">
        <v>31.22151466</v>
      </c>
      <c r="L325">
        <v>235.2457181</v>
      </c>
      <c r="M325">
        <v>16.97368754</v>
      </c>
      <c r="N325">
        <v>2.529341584</v>
      </c>
      <c r="O325">
        <v>-1.3405152E-2</v>
      </c>
      <c r="P325">
        <v>0.15566333800000001</v>
      </c>
      <c r="Q325" t="s">
        <v>19</v>
      </c>
      <c r="R325" t="s">
        <v>21</v>
      </c>
      <c r="S325">
        <f>IF(R325="粉砂质泥岩",0,IF(R325="暗色泥岩",1,IF(R325="非均质砂岩",2,IF(R325="均质砂岩",3,IF(R325="黑色页岩",4,IF(R325="凝灰岩",5,""))))))</f>
        <v>2</v>
      </c>
    </row>
    <row r="326" spans="1:19" x14ac:dyDescent="0.2">
      <c r="A326" t="s">
        <v>34</v>
      </c>
      <c r="B326">
        <v>1599.7643</v>
      </c>
      <c r="C326">
        <v>1607.2254</v>
      </c>
      <c r="D326">
        <v>65.746901809999997</v>
      </c>
      <c r="E326">
        <v>3.005607812</v>
      </c>
      <c r="F326">
        <v>99.687902750000006</v>
      </c>
      <c r="G326">
        <v>33.083076929999997</v>
      </c>
      <c r="H326">
        <v>28.898070539999999</v>
      </c>
      <c r="I326">
        <v>27.790587550000001</v>
      </c>
      <c r="J326">
        <v>28.47136969</v>
      </c>
      <c r="K326">
        <v>29.103605470000002</v>
      </c>
      <c r="L326">
        <v>229.28641450000001</v>
      </c>
      <c r="M326">
        <v>18.828829209999999</v>
      </c>
      <c r="N326">
        <v>2.6204943589999998</v>
      </c>
      <c r="O326">
        <v>-8.7301101000000006E-2</v>
      </c>
      <c r="P326">
        <v>0.248439513</v>
      </c>
      <c r="Q326" t="s">
        <v>19</v>
      </c>
      <c r="R326" t="s">
        <v>22</v>
      </c>
      <c r="S326">
        <f>IF(R326="粉砂质泥岩",0,IF(R326="暗色泥岩",1,IF(R326="非均质砂岩",2,IF(R326="均质砂岩",3,IF(R326="黑色页岩",4,IF(R326="凝灰岩",5,""))))))</f>
        <v>0</v>
      </c>
    </row>
    <row r="327" spans="1:19" x14ac:dyDescent="0.2">
      <c r="A327" t="s">
        <v>34</v>
      </c>
      <c r="B327">
        <v>1607.2254</v>
      </c>
      <c r="C327">
        <v>1608.4421</v>
      </c>
      <c r="D327">
        <v>64.782657920000005</v>
      </c>
      <c r="E327">
        <v>2.999603987</v>
      </c>
      <c r="F327">
        <v>76.585123499999995</v>
      </c>
      <c r="G327">
        <v>50.427873460000001</v>
      </c>
      <c r="H327">
        <v>40.235094070000002</v>
      </c>
      <c r="I327">
        <v>39.30506295</v>
      </c>
      <c r="J327">
        <v>40.499216079999997</v>
      </c>
      <c r="K327">
        <v>41.857546290000002</v>
      </c>
      <c r="L327">
        <v>218.96467469999999</v>
      </c>
      <c r="M327">
        <v>14.39519735</v>
      </c>
      <c r="N327">
        <v>2.6204286360000002</v>
      </c>
      <c r="O327">
        <v>8.184251E-3</v>
      </c>
      <c r="P327">
        <v>0.132925615</v>
      </c>
      <c r="Q327" t="s">
        <v>19</v>
      </c>
      <c r="R327" t="s">
        <v>21</v>
      </c>
      <c r="S327">
        <f>IF(R327="粉砂质泥岩",0,IF(R327="暗色泥岩",1,IF(R327="非均质砂岩",2,IF(R327="均质砂岩",3,IF(R327="黑色页岩",4,IF(R327="凝灰岩",5,""))))))</f>
        <v>2</v>
      </c>
    </row>
    <row r="328" spans="1:19" x14ac:dyDescent="0.2">
      <c r="A328" t="s">
        <v>34</v>
      </c>
      <c r="B328">
        <v>1608.4421</v>
      </c>
      <c r="C328">
        <v>1609.1857</v>
      </c>
      <c r="D328">
        <v>64.336364750000001</v>
      </c>
      <c r="E328">
        <v>3.0178038780000001</v>
      </c>
      <c r="F328">
        <v>104.3696461</v>
      </c>
      <c r="G328">
        <v>33.973314049999999</v>
      </c>
      <c r="H328">
        <v>29.236043689999999</v>
      </c>
      <c r="I328">
        <v>27.995290520000001</v>
      </c>
      <c r="J328">
        <v>28.970617059999999</v>
      </c>
      <c r="K328">
        <v>29.91765594</v>
      </c>
      <c r="L328">
        <v>223.8877525</v>
      </c>
      <c r="M328">
        <v>19.76851606</v>
      </c>
      <c r="N328">
        <v>2.637976348</v>
      </c>
      <c r="O328">
        <v>-7.6410291000000005E-2</v>
      </c>
      <c r="P328">
        <v>0.271848229</v>
      </c>
      <c r="Q328" t="s">
        <v>19</v>
      </c>
      <c r="R328" t="s">
        <v>22</v>
      </c>
      <c r="S328">
        <f>IF(R328="粉砂质泥岩",0,IF(R328="暗色泥岩",1,IF(R328="非均质砂岩",2,IF(R328="均质砂岩",3,IF(R328="黑色页岩",4,IF(R328="凝灰岩",5,""))))))</f>
        <v>0</v>
      </c>
    </row>
    <row r="329" spans="1:19" x14ac:dyDescent="0.2">
      <c r="A329" t="s">
        <v>34</v>
      </c>
      <c r="B329">
        <v>1609.1857</v>
      </c>
      <c r="C329">
        <v>1610.3486</v>
      </c>
      <c r="D329">
        <v>65.136684119999998</v>
      </c>
      <c r="E329">
        <v>2.7938453600000002</v>
      </c>
      <c r="F329">
        <v>77.51404307</v>
      </c>
      <c r="G329">
        <v>167.73053179999999</v>
      </c>
      <c r="H329">
        <v>100.2701718</v>
      </c>
      <c r="I329">
        <v>93.182783569999998</v>
      </c>
      <c r="J329">
        <v>95.26604227</v>
      </c>
      <c r="K329">
        <v>96.49744767</v>
      </c>
      <c r="L329">
        <v>228.55399969999999</v>
      </c>
      <c r="M329">
        <v>17.41162168</v>
      </c>
      <c r="N329">
        <v>2.5391859459999999</v>
      </c>
      <c r="O329">
        <v>1.0846672E-2</v>
      </c>
      <c r="P329">
        <v>0.137570215</v>
      </c>
      <c r="Q329" t="s">
        <v>19</v>
      </c>
      <c r="R329" t="s">
        <v>23</v>
      </c>
      <c r="S329">
        <f>IF(R329="粉砂质泥岩",0,IF(R329="暗色泥岩",1,IF(R329="非均质砂岩",2,IF(R329="均质砂岩",3,IF(R329="黑色页岩",4,IF(R329="凝灰岩",5,""))))))</f>
        <v>3</v>
      </c>
    </row>
    <row r="330" spans="1:19" x14ac:dyDescent="0.2">
      <c r="A330" t="s">
        <v>34</v>
      </c>
      <c r="B330">
        <v>1610.3486</v>
      </c>
      <c r="C330">
        <v>1613.5235</v>
      </c>
      <c r="D330">
        <v>66.663715249999996</v>
      </c>
      <c r="E330">
        <v>3.0418862720000002</v>
      </c>
      <c r="F330">
        <v>101.4221691</v>
      </c>
      <c r="G330">
        <v>35.94174374</v>
      </c>
      <c r="H330">
        <v>29.713391850000001</v>
      </c>
      <c r="I330">
        <v>28.79452006</v>
      </c>
      <c r="J330">
        <v>29.56841446</v>
      </c>
      <c r="K330">
        <v>30.441117949999999</v>
      </c>
      <c r="L330">
        <v>225.6321763</v>
      </c>
      <c r="M330">
        <v>18.569954030000002</v>
      </c>
      <c r="N330">
        <v>2.6119676429999998</v>
      </c>
      <c r="O330">
        <v>-9.115819E-2</v>
      </c>
      <c r="P330">
        <v>0.25711084400000001</v>
      </c>
      <c r="Q330" t="s">
        <v>19</v>
      </c>
      <c r="R330" t="s">
        <v>22</v>
      </c>
      <c r="S330">
        <f>IF(R330="粉砂质泥岩",0,IF(R330="暗色泥岩",1,IF(R330="非均质砂岩",2,IF(R330="均质砂岩",3,IF(R330="黑色页岩",4,IF(R330="凝灰岩",5,""))))))</f>
        <v>0</v>
      </c>
    </row>
    <row r="331" spans="1:19" x14ac:dyDescent="0.2">
      <c r="A331" t="s">
        <v>34</v>
      </c>
      <c r="B331">
        <v>1613.5235</v>
      </c>
      <c r="C331">
        <v>1621.0372</v>
      </c>
      <c r="D331">
        <v>65.751358839999995</v>
      </c>
      <c r="E331">
        <v>2.7645761869999999</v>
      </c>
      <c r="F331">
        <v>88.263252159999993</v>
      </c>
      <c r="G331">
        <v>59.2117413</v>
      </c>
      <c r="H331">
        <v>48.950444349999998</v>
      </c>
      <c r="I331">
        <v>46.45541798</v>
      </c>
      <c r="J331">
        <v>48.065631340000003</v>
      </c>
      <c r="K331">
        <v>49.563227580000003</v>
      </c>
      <c r="L331">
        <v>226.7121325</v>
      </c>
      <c r="M331">
        <v>17.834813610000001</v>
      </c>
      <c r="N331">
        <v>2.5218033260000001</v>
      </c>
      <c r="O331">
        <v>1.1260561000000001E-2</v>
      </c>
      <c r="P331">
        <v>0.19131625999999999</v>
      </c>
      <c r="Q331" t="s">
        <v>19</v>
      </c>
      <c r="R331" t="s">
        <v>21</v>
      </c>
      <c r="S331">
        <f>IF(R331="粉砂质泥岩",0,IF(R331="暗色泥岩",1,IF(R331="非均质砂岩",2,IF(R331="均质砂岩",3,IF(R331="黑色页岩",4,IF(R331="凝灰岩",5,""))))))</f>
        <v>2</v>
      </c>
    </row>
    <row r="332" spans="1:19" x14ac:dyDescent="0.2">
      <c r="A332" t="s">
        <v>34</v>
      </c>
      <c r="B332">
        <v>1621.0372</v>
      </c>
      <c r="C332">
        <v>1622.4131</v>
      </c>
      <c r="D332">
        <v>69.184730529999996</v>
      </c>
      <c r="E332">
        <v>3.145274782</v>
      </c>
      <c r="F332">
        <v>114.0224609</v>
      </c>
      <c r="G332">
        <v>28.035876720000001</v>
      </c>
      <c r="H332">
        <v>25.754562629999999</v>
      </c>
      <c r="I332">
        <v>26.781192399999998</v>
      </c>
      <c r="J332">
        <v>27.807512790000001</v>
      </c>
      <c r="K332">
        <v>29.34190585</v>
      </c>
      <c r="L332">
        <v>236.9736949</v>
      </c>
      <c r="M332">
        <v>23.284104030000002</v>
      </c>
      <c r="N332">
        <v>2.3739050389999998</v>
      </c>
      <c r="O332">
        <v>-0.12267049200000001</v>
      </c>
      <c r="P332">
        <v>0.32011230600000001</v>
      </c>
      <c r="Q332" t="s">
        <v>19</v>
      </c>
      <c r="R332" t="s">
        <v>24</v>
      </c>
      <c r="S332">
        <f>IF(R332="粉砂质泥岩",0,IF(R332="暗色泥岩",1,IF(R332="非均质砂岩",2,IF(R332="均质砂岩",3,IF(R332="黑色页岩",4,IF(R332="凝灰岩",5,""))))))</f>
        <v>5</v>
      </c>
    </row>
    <row r="333" spans="1:19" x14ac:dyDescent="0.2">
      <c r="A333" t="s">
        <v>34</v>
      </c>
      <c r="B333">
        <v>1622.4131</v>
      </c>
      <c r="C333">
        <v>1626.8579</v>
      </c>
      <c r="D333">
        <v>66.990488859999999</v>
      </c>
      <c r="E333">
        <v>2.7234247900000002</v>
      </c>
      <c r="F333">
        <v>93.836176050000006</v>
      </c>
      <c r="G333">
        <v>49.403778539999998</v>
      </c>
      <c r="H333">
        <v>39.976599210000003</v>
      </c>
      <c r="I333">
        <v>39.218172670000001</v>
      </c>
      <c r="J333">
        <v>40.529634049999999</v>
      </c>
      <c r="K333">
        <v>42.05891724</v>
      </c>
      <c r="L333">
        <v>234.25152009999999</v>
      </c>
      <c r="M333">
        <v>19.286041619999999</v>
      </c>
      <c r="N333">
        <v>2.5083565819999998</v>
      </c>
      <c r="O333">
        <v>-1.144294E-2</v>
      </c>
      <c r="P333">
        <v>0.21918087999999999</v>
      </c>
      <c r="Q333" t="s">
        <v>19</v>
      </c>
      <c r="R333" t="s">
        <v>21</v>
      </c>
      <c r="S333">
        <f>IF(R333="粉砂质泥岩",0,IF(R333="暗色泥岩",1,IF(R333="非均质砂岩",2,IF(R333="均质砂岩",3,IF(R333="黑色页岩",4,IF(R333="凝灰岩",5,""))))))</f>
        <v>2</v>
      </c>
    </row>
    <row r="334" spans="1:19" x14ac:dyDescent="0.2">
      <c r="A334" t="s">
        <v>34</v>
      </c>
      <c r="B334">
        <v>1626.8579</v>
      </c>
      <c r="C334">
        <v>1627.8634</v>
      </c>
      <c r="D334">
        <v>64.258429789999994</v>
      </c>
      <c r="E334">
        <v>2.8818575690000001</v>
      </c>
      <c r="F334">
        <v>112.3991158</v>
      </c>
      <c r="G334">
        <v>21.553127809999999</v>
      </c>
      <c r="H334">
        <v>22.6175277</v>
      </c>
      <c r="I334">
        <v>23.049819429999999</v>
      </c>
      <c r="J334">
        <v>23.614534379999998</v>
      </c>
      <c r="K334">
        <v>24.50420987</v>
      </c>
      <c r="L334">
        <v>241.2362282</v>
      </c>
      <c r="M334">
        <v>23.691459829999999</v>
      </c>
      <c r="N334">
        <v>2.3378369810000001</v>
      </c>
      <c r="O334">
        <v>-9.7588128999999996E-2</v>
      </c>
      <c r="P334">
        <v>0.311995578</v>
      </c>
      <c r="Q334" t="s">
        <v>19</v>
      </c>
      <c r="R334" t="s">
        <v>24</v>
      </c>
      <c r="S334">
        <f>IF(R334="粉砂质泥岩",0,IF(R334="暗色泥岩",1,IF(R334="非均质砂岩",2,IF(R334="均质砂岩",3,IF(R334="黑色页岩",4,IF(R334="凝灰岩",5,""))))))</f>
        <v>5</v>
      </c>
    </row>
    <row r="335" spans="1:19" x14ac:dyDescent="0.2">
      <c r="A335" t="s">
        <v>34</v>
      </c>
      <c r="B335">
        <v>1627.8634</v>
      </c>
      <c r="C335">
        <v>1632.4154000000001</v>
      </c>
      <c r="D335">
        <v>64.145499529999995</v>
      </c>
      <c r="E335">
        <v>2.7367321329999998</v>
      </c>
      <c r="F335">
        <v>84.824256730000002</v>
      </c>
      <c r="G335">
        <v>39.224203430000003</v>
      </c>
      <c r="H335">
        <v>34.11905849</v>
      </c>
      <c r="I335">
        <v>33.518939529999997</v>
      </c>
      <c r="J335">
        <v>34.429684379999998</v>
      </c>
      <c r="K335">
        <v>35.511009010000002</v>
      </c>
      <c r="L335">
        <v>228.83128160000001</v>
      </c>
      <c r="M335">
        <v>17.962835389999999</v>
      </c>
      <c r="N335">
        <v>2.5164942080000001</v>
      </c>
      <c r="O335">
        <v>1.3612689000000001E-2</v>
      </c>
      <c r="P335">
        <v>0.17412128299999999</v>
      </c>
      <c r="Q335" t="s">
        <v>19</v>
      </c>
      <c r="R335" t="s">
        <v>21</v>
      </c>
      <c r="S335">
        <f>IF(R335="粉砂质泥岩",0,IF(R335="暗色泥岩",1,IF(R335="非均质砂岩",2,IF(R335="均质砂岩",3,IF(R335="黑色页岩",4,IF(R335="凝灰岩",5,""))))))</f>
        <v>2</v>
      </c>
    </row>
    <row r="336" spans="1:19" x14ac:dyDescent="0.2">
      <c r="A336" t="s">
        <v>34</v>
      </c>
      <c r="B336">
        <v>1632.5199</v>
      </c>
      <c r="C336">
        <v>1633.2607</v>
      </c>
      <c r="D336">
        <v>65.331380839999994</v>
      </c>
      <c r="E336">
        <v>2.9385338430000001</v>
      </c>
      <c r="F336">
        <v>115.7967367</v>
      </c>
      <c r="G336">
        <v>24.781578060000001</v>
      </c>
      <c r="H336">
        <v>22.938399789999998</v>
      </c>
      <c r="I336">
        <v>22.84364128</v>
      </c>
      <c r="J336">
        <v>23.29593444</v>
      </c>
      <c r="K336">
        <v>24.0948329</v>
      </c>
      <c r="L336">
        <v>234.23380090000001</v>
      </c>
      <c r="M336">
        <v>22.199594260000001</v>
      </c>
      <c r="N336">
        <v>2.5505552890000001</v>
      </c>
      <c r="O336">
        <v>-0.116511983</v>
      </c>
      <c r="P336">
        <v>0.32898368700000002</v>
      </c>
      <c r="Q336" t="s">
        <v>19</v>
      </c>
      <c r="R336" t="s">
        <v>20</v>
      </c>
      <c r="S336">
        <f>IF(R336="粉砂质泥岩",0,IF(R336="暗色泥岩",1,IF(R336="非均质砂岩",2,IF(R336="均质砂岩",3,IF(R336="黑色页岩",4,IF(R336="凝灰岩",5,""))))))</f>
        <v>1</v>
      </c>
    </row>
    <row r="337" spans="1:19" x14ac:dyDescent="0.2">
      <c r="A337" t="s">
        <v>34</v>
      </c>
      <c r="B337">
        <v>1633.2607</v>
      </c>
      <c r="C337">
        <v>1643.0501999999999</v>
      </c>
      <c r="D337">
        <v>62.134641360000003</v>
      </c>
      <c r="E337">
        <v>2.8614590479999999</v>
      </c>
      <c r="F337">
        <v>90.54699214</v>
      </c>
      <c r="G337">
        <v>67.827149169999998</v>
      </c>
      <c r="H337">
        <v>56.788795489999998</v>
      </c>
      <c r="I337">
        <v>53.337575950000002</v>
      </c>
      <c r="J337">
        <v>55.002848229999998</v>
      </c>
      <c r="K337">
        <v>56.488836059999997</v>
      </c>
      <c r="L337">
        <v>226.48553269999999</v>
      </c>
      <c r="M337">
        <v>18.815346229999999</v>
      </c>
      <c r="N337">
        <v>2.5208652310000002</v>
      </c>
      <c r="O337">
        <v>2.2204647000000001E-2</v>
      </c>
      <c r="P337">
        <v>0.20273496199999999</v>
      </c>
      <c r="Q337" t="s">
        <v>19</v>
      </c>
      <c r="R337" t="s">
        <v>21</v>
      </c>
      <c r="S337">
        <f>IF(R337="粉砂质泥岩",0,IF(R337="暗色泥岩",1,IF(R337="非均质砂岩",2,IF(R337="均质砂岩",3,IF(R337="黑色页岩",4,IF(R337="凝灰岩",5,""))))))</f>
        <v>2</v>
      </c>
    </row>
    <row r="338" spans="1:19" x14ac:dyDescent="0.2">
      <c r="A338" t="s">
        <v>34</v>
      </c>
      <c r="B338">
        <v>1643.0501999999999</v>
      </c>
      <c r="C338">
        <v>1643.9496999999999</v>
      </c>
      <c r="D338">
        <v>63.836783599999997</v>
      </c>
      <c r="E338">
        <v>3.0501613380000001</v>
      </c>
      <c r="F338">
        <v>114.2384933</v>
      </c>
      <c r="G338">
        <v>34.317559430000003</v>
      </c>
      <c r="H338">
        <v>31.8465168</v>
      </c>
      <c r="I338">
        <v>30.875806050000001</v>
      </c>
      <c r="J338">
        <v>31.81597958</v>
      </c>
      <c r="K338">
        <v>32.99392185</v>
      </c>
      <c r="L338">
        <v>235.0798752</v>
      </c>
      <c r="M338">
        <v>22.270131299999999</v>
      </c>
      <c r="N338">
        <v>2.5188954830000001</v>
      </c>
      <c r="O338">
        <v>-9.1493563E-2</v>
      </c>
      <c r="P338">
        <v>0.32119247000000001</v>
      </c>
      <c r="Q338" t="s">
        <v>19</v>
      </c>
      <c r="R338" t="s">
        <v>20</v>
      </c>
      <c r="S338">
        <f>IF(R338="粉砂质泥岩",0,IF(R338="暗色泥岩",1,IF(R338="非均质砂岩",2,IF(R338="均质砂岩",3,IF(R338="黑色页岩",4,IF(R338="凝灰岩",5,""))))))</f>
        <v>1</v>
      </c>
    </row>
    <row r="339" spans="1:19" x14ac:dyDescent="0.2">
      <c r="A339" t="s">
        <v>34</v>
      </c>
      <c r="B339">
        <v>1643.9496999999999</v>
      </c>
      <c r="C339">
        <v>1648.5003999999999</v>
      </c>
      <c r="D339">
        <v>65.932374019999997</v>
      </c>
      <c r="E339">
        <v>2.9528587220000002</v>
      </c>
      <c r="F339">
        <v>92.774487269999995</v>
      </c>
      <c r="G339">
        <v>68.163364610000002</v>
      </c>
      <c r="H339">
        <v>57.365025379999999</v>
      </c>
      <c r="I339">
        <v>51.46109723</v>
      </c>
      <c r="J339">
        <v>52.421993819999997</v>
      </c>
      <c r="K339">
        <v>52.469637609999999</v>
      </c>
      <c r="L339">
        <v>222.50564610000001</v>
      </c>
      <c r="M339">
        <v>17.901333180000002</v>
      </c>
      <c r="N339">
        <v>2.5665218420000002</v>
      </c>
      <c r="O339">
        <v>1.6246180999999998E-2</v>
      </c>
      <c r="P339">
        <v>0.213872437</v>
      </c>
      <c r="Q339" t="s">
        <v>19</v>
      </c>
      <c r="R339" t="s">
        <v>21</v>
      </c>
      <c r="S339">
        <f>IF(R339="粉砂质泥岩",0,IF(R339="暗色泥岩",1,IF(R339="非均质砂岩",2,IF(R339="均质砂岩",3,IF(R339="黑色页岩",4,IF(R339="凝灰岩",5,""))))))</f>
        <v>2</v>
      </c>
    </row>
    <row r="340" spans="1:19" x14ac:dyDescent="0.2">
      <c r="A340" t="s">
        <v>34</v>
      </c>
      <c r="B340">
        <v>1648.5003999999999</v>
      </c>
      <c r="C340">
        <v>1651.1461999999999</v>
      </c>
      <c r="D340">
        <v>72.246140370000006</v>
      </c>
      <c r="E340">
        <v>3.1148219899999998</v>
      </c>
      <c r="F340">
        <v>106.6501609</v>
      </c>
      <c r="G340">
        <v>68.585391290000004</v>
      </c>
      <c r="H340">
        <v>57.408788190000003</v>
      </c>
      <c r="I340">
        <v>50.072899919999998</v>
      </c>
      <c r="J340">
        <v>50.317446250000003</v>
      </c>
      <c r="K340">
        <v>49.491552560000002</v>
      </c>
      <c r="L340">
        <v>224.31905789999999</v>
      </c>
      <c r="M340">
        <v>21.02356211</v>
      </c>
      <c r="N340">
        <v>2.638837514</v>
      </c>
      <c r="O340">
        <v>-8.9159627000000005E-2</v>
      </c>
      <c r="P340">
        <v>0.28325080600000002</v>
      </c>
      <c r="Q340" t="s">
        <v>19</v>
      </c>
      <c r="R340" t="s">
        <v>22</v>
      </c>
      <c r="S340">
        <f>IF(R340="粉砂质泥岩",0,IF(R340="暗色泥岩",1,IF(R340="非均质砂岩",2,IF(R340="均质砂岩",3,IF(R340="黑色页岩",4,IF(R340="凝灰岩",5,""))))))</f>
        <v>0</v>
      </c>
    </row>
    <row r="341" spans="1:19" x14ac:dyDescent="0.2">
      <c r="A341" t="s">
        <v>34</v>
      </c>
      <c r="B341">
        <v>1651.1461999999999</v>
      </c>
      <c r="C341">
        <v>1653.1033</v>
      </c>
      <c r="D341">
        <v>72.872339519999997</v>
      </c>
      <c r="E341">
        <v>3.3776666440000001</v>
      </c>
      <c r="F341">
        <v>194.5512339</v>
      </c>
      <c r="G341">
        <v>71.570043839999997</v>
      </c>
      <c r="H341">
        <v>55.424585610000001</v>
      </c>
      <c r="I341">
        <v>48.443266729999998</v>
      </c>
      <c r="J341">
        <v>49.161733349999999</v>
      </c>
      <c r="K341">
        <v>48.653418219999999</v>
      </c>
      <c r="L341">
        <v>264.5526261</v>
      </c>
      <c r="M341">
        <v>31.36840085</v>
      </c>
      <c r="N341">
        <v>2.5474970109999999</v>
      </c>
      <c r="O341">
        <v>-0.15039176200000001</v>
      </c>
      <c r="P341">
        <v>0.72275617199999997</v>
      </c>
      <c r="Q341" t="s">
        <v>19</v>
      </c>
      <c r="R341" t="s">
        <v>20</v>
      </c>
      <c r="S341">
        <f>IF(R341="粉砂质泥岩",0,IF(R341="暗色泥岩",1,IF(R341="非均质砂岩",2,IF(R341="均质砂岩",3,IF(R341="黑色页岩",4,IF(R341="凝灰岩",5,""))))))</f>
        <v>1</v>
      </c>
    </row>
    <row r="342" spans="1:19" x14ac:dyDescent="0.2">
      <c r="A342" t="s">
        <v>34</v>
      </c>
      <c r="B342">
        <v>1653.1033</v>
      </c>
      <c r="C342">
        <v>1654.4275</v>
      </c>
      <c r="D342">
        <v>70.555188319999999</v>
      </c>
      <c r="E342">
        <v>3.2657814709999999</v>
      </c>
      <c r="F342">
        <v>134.49231449999999</v>
      </c>
      <c r="G342">
        <v>27.35268361</v>
      </c>
      <c r="H342">
        <v>23.913446019999999</v>
      </c>
      <c r="I342">
        <v>22.888555390000001</v>
      </c>
      <c r="J342">
        <v>23.449914249999999</v>
      </c>
      <c r="K342">
        <v>24.351838109999999</v>
      </c>
      <c r="L342">
        <v>249.06569669999999</v>
      </c>
      <c r="M342">
        <v>27.099435400000001</v>
      </c>
      <c r="N342">
        <v>2.6185975589999999</v>
      </c>
      <c r="O342">
        <v>-0.105338841</v>
      </c>
      <c r="P342">
        <v>0.42246157099999998</v>
      </c>
      <c r="Q342" t="s">
        <v>19</v>
      </c>
      <c r="R342" t="s">
        <v>22</v>
      </c>
      <c r="S342">
        <f>IF(R342="粉砂质泥岩",0,IF(R342="暗色泥岩",1,IF(R342="非均质砂岩",2,IF(R342="均质砂岩",3,IF(R342="黑色页岩",4,IF(R342="凝灰岩",5,""))))))</f>
        <v>0</v>
      </c>
    </row>
    <row r="343" spans="1:19" x14ac:dyDescent="0.2">
      <c r="A343" t="s">
        <v>34</v>
      </c>
      <c r="B343">
        <v>1654.4275</v>
      </c>
      <c r="C343">
        <v>1656.7011</v>
      </c>
      <c r="D343">
        <v>66.538035230000006</v>
      </c>
      <c r="E343">
        <v>3.7605476580000001</v>
      </c>
      <c r="F343">
        <v>291.65838810000002</v>
      </c>
      <c r="G343">
        <v>36.097474730000002</v>
      </c>
      <c r="H343">
        <v>26.99621153</v>
      </c>
      <c r="I343">
        <v>26.98431261</v>
      </c>
      <c r="J343">
        <v>28.0463016</v>
      </c>
      <c r="K343">
        <v>29.945061209999999</v>
      </c>
      <c r="L343">
        <v>302.76848410000002</v>
      </c>
      <c r="M343">
        <v>37.548754289999998</v>
      </c>
      <c r="N343">
        <v>2.4063111340000001</v>
      </c>
      <c r="O343">
        <v>-0.18101610200000001</v>
      </c>
      <c r="P343">
        <v>1.2082919350000001</v>
      </c>
      <c r="Q343" t="s">
        <v>19</v>
      </c>
      <c r="R343" t="s">
        <v>20</v>
      </c>
      <c r="S343">
        <f>IF(R343="粉砂质泥岩",0,IF(R343="暗色泥岩",1,IF(R343="非均质砂岩",2,IF(R343="均质砂岩",3,IF(R343="黑色页岩",4,IF(R343="凝灰岩",5,""))))))</f>
        <v>1</v>
      </c>
    </row>
    <row r="344" spans="1:19" x14ac:dyDescent="0.2">
      <c r="A344" t="s">
        <v>34</v>
      </c>
      <c r="B344">
        <v>1656.7011</v>
      </c>
      <c r="C344">
        <v>1659.8751999999999</v>
      </c>
      <c r="D344">
        <v>59.882992369999997</v>
      </c>
      <c r="E344">
        <v>3.0259671359999998</v>
      </c>
      <c r="F344">
        <v>113.34989210000001</v>
      </c>
      <c r="G344">
        <v>53.901291360000002</v>
      </c>
      <c r="H344">
        <v>43.518085360000001</v>
      </c>
      <c r="I344">
        <v>40.702689370000002</v>
      </c>
      <c r="J344">
        <v>41.96023271</v>
      </c>
      <c r="K344">
        <v>43.06305828</v>
      </c>
      <c r="L344">
        <v>222.168814</v>
      </c>
      <c r="M344">
        <v>19.76983989</v>
      </c>
      <c r="N344">
        <v>2.612268303</v>
      </c>
      <c r="O344">
        <v>-5.109284E-2</v>
      </c>
      <c r="P344">
        <v>0.31674945900000001</v>
      </c>
      <c r="Q344" t="s">
        <v>19</v>
      </c>
      <c r="R344" t="s">
        <v>22</v>
      </c>
      <c r="S344">
        <f>IF(R344="粉砂质泥岩",0,IF(R344="暗色泥岩",1,IF(R344="非均质砂岩",2,IF(R344="均质砂岩",3,IF(R344="黑色页岩",4,IF(R344="凝灰岩",5,""))))))</f>
        <v>0</v>
      </c>
    </row>
    <row r="345" spans="1:19" x14ac:dyDescent="0.2">
      <c r="A345" t="s">
        <v>34</v>
      </c>
      <c r="B345">
        <v>1659.8751999999999</v>
      </c>
      <c r="C345">
        <v>1661.9938999999999</v>
      </c>
      <c r="D345">
        <v>67.438305940000006</v>
      </c>
      <c r="E345">
        <v>2.796938983</v>
      </c>
      <c r="F345">
        <v>186.26742100000001</v>
      </c>
      <c r="G345">
        <v>24.774740090000002</v>
      </c>
      <c r="H345">
        <v>21.912391710000001</v>
      </c>
      <c r="I345">
        <v>21.831385220000001</v>
      </c>
      <c r="J345">
        <v>22.512918039999999</v>
      </c>
      <c r="K345">
        <v>23.689151420000002</v>
      </c>
      <c r="L345">
        <v>251.3750714</v>
      </c>
      <c r="M345">
        <v>24.774018030000001</v>
      </c>
      <c r="N345">
        <v>2.4549559790000002</v>
      </c>
      <c r="O345">
        <v>-0.17701208500000001</v>
      </c>
      <c r="P345">
        <v>0.68133710300000005</v>
      </c>
      <c r="Q345" t="s">
        <v>19</v>
      </c>
      <c r="R345" t="s">
        <v>20</v>
      </c>
      <c r="S345">
        <f>IF(R345="粉砂质泥岩",0,IF(R345="暗色泥岩",1,IF(R345="非均质砂岩",2,IF(R345="均质砂岩",3,IF(R345="黑色页岩",4,IF(R345="凝灰岩",5,""))))))</f>
        <v>1</v>
      </c>
    </row>
    <row r="346" spans="1:19" x14ac:dyDescent="0.2">
      <c r="A346" t="s">
        <v>34</v>
      </c>
      <c r="B346">
        <v>1661.9938999999999</v>
      </c>
      <c r="C346">
        <v>1662.4694</v>
      </c>
      <c r="D346">
        <v>69.182805380000005</v>
      </c>
      <c r="E346">
        <v>3.0897297460000002</v>
      </c>
      <c r="F346">
        <v>101.5939369</v>
      </c>
      <c r="G346">
        <v>81.946888610000002</v>
      </c>
      <c r="H346">
        <v>58.73120308</v>
      </c>
      <c r="I346">
        <v>55.103521979999996</v>
      </c>
      <c r="J346">
        <v>56.90738932</v>
      </c>
      <c r="K346">
        <v>58.634651179999999</v>
      </c>
      <c r="L346">
        <v>221.9329936</v>
      </c>
      <c r="M346">
        <v>17.7851572</v>
      </c>
      <c r="N346">
        <v>2.5517139430000002</v>
      </c>
      <c r="O346">
        <v>-3.9438675999999999E-2</v>
      </c>
      <c r="P346">
        <v>0.25796968199999998</v>
      </c>
      <c r="Q346" t="s">
        <v>19</v>
      </c>
      <c r="R346" t="s">
        <v>23</v>
      </c>
      <c r="S346">
        <f>IF(R346="粉砂质泥岩",0,IF(R346="暗色泥岩",1,IF(R346="非均质砂岩",2,IF(R346="均质砂岩",3,IF(R346="黑色页岩",4,IF(R346="凝灰岩",5,""))))))</f>
        <v>3</v>
      </c>
    </row>
    <row r="347" spans="1:19" x14ac:dyDescent="0.2">
      <c r="A347" t="s">
        <v>34</v>
      </c>
      <c r="B347">
        <v>1662.4702</v>
      </c>
      <c r="C347">
        <v>1663.3688999999999</v>
      </c>
      <c r="D347">
        <v>68.05806656</v>
      </c>
      <c r="E347">
        <v>2.8686759469999998</v>
      </c>
      <c r="F347">
        <v>171.4502258</v>
      </c>
      <c r="G347">
        <v>34.96192989</v>
      </c>
      <c r="H347">
        <v>28.064399340000001</v>
      </c>
      <c r="I347">
        <v>25.734504130000001</v>
      </c>
      <c r="J347">
        <v>26.453569219999999</v>
      </c>
      <c r="K347">
        <v>27.41970654</v>
      </c>
      <c r="L347">
        <v>253.88364110000001</v>
      </c>
      <c r="M347">
        <v>24.063809389999999</v>
      </c>
      <c r="N347">
        <v>2.4991230249999998</v>
      </c>
      <c r="O347">
        <v>-0.186067079</v>
      </c>
      <c r="P347">
        <v>0.60725112000000003</v>
      </c>
      <c r="Q347" t="s">
        <v>19</v>
      </c>
      <c r="R347" t="s">
        <v>20</v>
      </c>
      <c r="S347">
        <f>IF(R347="粉砂质泥岩",0,IF(R347="暗色泥岩",1,IF(R347="非均质砂岩",2,IF(R347="均质砂岩",3,IF(R347="黑色页岩",4,IF(R347="凝灰岩",5,""))))))</f>
        <v>1</v>
      </c>
    </row>
    <row r="348" spans="1:19" x14ac:dyDescent="0.2">
      <c r="A348" t="s">
        <v>34</v>
      </c>
      <c r="B348">
        <v>1663.3688999999999</v>
      </c>
      <c r="C348">
        <v>1667.1780000000001</v>
      </c>
      <c r="D348">
        <v>64.852497389999996</v>
      </c>
      <c r="E348">
        <v>3.3534546449999998</v>
      </c>
      <c r="F348">
        <v>146.5724386</v>
      </c>
      <c r="G348">
        <v>27.566018719999999</v>
      </c>
      <c r="H348">
        <v>25.859634889999999</v>
      </c>
      <c r="I348">
        <v>24.54134848</v>
      </c>
      <c r="J348">
        <v>25.086051009999998</v>
      </c>
      <c r="K348">
        <v>25.473691349999999</v>
      </c>
      <c r="L348">
        <v>247.3459895</v>
      </c>
      <c r="M348">
        <v>27.05421321</v>
      </c>
      <c r="N348">
        <v>2.632620041</v>
      </c>
      <c r="O348">
        <v>-0.12303860699999999</v>
      </c>
      <c r="P348">
        <v>0.48286219400000002</v>
      </c>
      <c r="Q348" t="s">
        <v>19</v>
      </c>
      <c r="R348" t="s">
        <v>22</v>
      </c>
      <c r="S348">
        <f>IF(R348="粉砂质泥岩",0,IF(R348="暗色泥岩",1,IF(R348="非均质砂岩",2,IF(R348="均质砂岩",3,IF(R348="黑色页岩",4,IF(R348="凝灰岩",5,""))))))</f>
        <v>0</v>
      </c>
    </row>
    <row r="349" spans="1:19" x14ac:dyDescent="0.2">
      <c r="A349" t="s">
        <v>34</v>
      </c>
      <c r="B349">
        <v>1667.1796999999999</v>
      </c>
      <c r="C349">
        <v>1672.9475</v>
      </c>
      <c r="D349">
        <v>42.566534660000002</v>
      </c>
      <c r="E349">
        <v>3.4294523300000002</v>
      </c>
      <c r="F349">
        <v>320.21202369999997</v>
      </c>
      <c r="G349">
        <v>225.3090809</v>
      </c>
      <c r="H349">
        <v>218.30352579999999</v>
      </c>
      <c r="I349">
        <v>159.32115640000001</v>
      </c>
      <c r="J349">
        <v>161.81592570000001</v>
      </c>
      <c r="K349">
        <v>146.5016942</v>
      </c>
      <c r="L349">
        <v>298.73414530000002</v>
      </c>
      <c r="M349">
        <v>39.498489739999997</v>
      </c>
      <c r="N349">
        <v>2.3937768130000001</v>
      </c>
      <c r="O349">
        <v>-0.15458543999999999</v>
      </c>
      <c r="P349">
        <v>1.351060119</v>
      </c>
      <c r="Q349" t="s">
        <v>19</v>
      </c>
      <c r="R349" t="s">
        <v>25</v>
      </c>
      <c r="S349">
        <f>IF(R349="粉砂质泥岩",0,IF(R349="暗色泥岩",1,IF(R349="非均质砂岩",2,IF(R349="均质砂岩",3,IF(R349="黑色页岩",4,IF(R349="凝灰岩",5,""))))))</f>
        <v>4</v>
      </c>
    </row>
    <row r="350" spans="1:19" x14ac:dyDescent="0.2">
      <c r="A350" t="s">
        <v>34</v>
      </c>
      <c r="B350">
        <v>1672.9475</v>
      </c>
      <c r="C350">
        <v>1676.7565999999999</v>
      </c>
      <c r="D350">
        <v>46.236487760000003</v>
      </c>
      <c r="E350">
        <v>3.2142665629999998</v>
      </c>
      <c r="F350">
        <v>156.56251599999999</v>
      </c>
      <c r="G350">
        <v>62.858149500000003</v>
      </c>
      <c r="H350">
        <v>52.149169530000002</v>
      </c>
      <c r="I350">
        <v>47.279840810000003</v>
      </c>
      <c r="J350">
        <v>45.431176209999997</v>
      </c>
      <c r="K350">
        <v>44.335848200000001</v>
      </c>
      <c r="L350">
        <v>244.04370700000001</v>
      </c>
      <c r="M350">
        <v>23.135666919999998</v>
      </c>
      <c r="N350">
        <v>2.5653906110000002</v>
      </c>
      <c r="O350">
        <v>-0.158557745</v>
      </c>
      <c r="P350">
        <v>0.53281258200000003</v>
      </c>
      <c r="Q350" t="s">
        <v>19</v>
      </c>
      <c r="R350" t="s">
        <v>22</v>
      </c>
      <c r="S350">
        <f>IF(R350="粉砂质泥岩",0,IF(R350="暗色泥岩",1,IF(R350="非均质砂岩",2,IF(R350="均质砂岩",3,IF(R350="黑色页岩",4,IF(R350="凝灰岩",5,""))))))</f>
        <v>0</v>
      </c>
    </row>
    <row r="351" spans="1:19" x14ac:dyDescent="0.2">
      <c r="A351" t="s">
        <v>34</v>
      </c>
      <c r="B351">
        <v>1676.7565999999999</v>
      </c>
      <c r="C351">
        <v>1678.6086</v>
      </c>
      <c r="D351">
        <v>48.687818149999998</v>
      </c>
      <c r="E351">
        <v>2.6952890040000002</v>
      </c>
      <c r="F351">
        <v>97.233072280000002</v>
      </c>
      <c r="G351">
        <v>100.3043442</v>
      </c>
      <c r="H351">
        <v>95.388562390000004</v>
      </c>
      <c r="I351">
        <v>68.244772909999995</v>
      </c>
      <c r="J351">
        <v>67.996784399999996</v>
      </c>
      <c r="K351">
        <v>61.804708480000002</v>
      </c>
      <c r="L351">
        <v>232.3702759</v>
      </c>
      <c r="M351">
        <v>16.248929789999998</v>
      </c>
      <c r="N351">
        <v>2.5305801030000001</v>
      </c>
      <c r="O351">
        <v>-3.0987845999999999E-2</v>
      </c>
      <c r="P351">
        <v>0.23616536099999999</v>
      </c>
      <c r="Q351" t="s">
        <v>19</v>
      </c>
      <c r="R351" t="s">
        <v>21</v>
      </c>
      <c r="S351">
        <f>IF(R351="粉砂质泥岩",0,IF(R351="暗色泥岩",1,IF(R351="非均质砂岩",2,IF(R351="均质砂岩",3,IF(R351="黑色页岩",4,IF(R351="凝灰岩",5,""))))))</f>
        <v>2</v>
      </c>
    </row>
    <row r="352" spans="1:19" x14ac:dyDescent="0.2">
      <c r="A352" t="s">
        <v>34</v>
      </c>
      <c r="B352">
        <v>1678.6086</v>
      </c>
      <c r="C352">
        <v>1688.8722</v>
      </c>
      <c r="D352">
        <v>53.705772029999999</v>
      </c>
      <c r="E352">
        <v>3.102817554</v>
      </c>
      <c r="F352">
        <v>202.00150310000001</v>
      </c>
      <c r="G352">
        <v>87.879102349999997</v>
      </c>
      <c r="H352">
        <v>52.690619269999999</v>
      </c>
      <c r="I352">
        <v>51.24905691</v>
      </c>
      <c r="J352">
        <v>53.750821430000002</v>
      </c>
      <c r="K352">
        <v>56.870985619999999</v>
      </c>
      <c r="L352">
        <v>257.3570742</v>
      </c>
      <c r="M352">
        <v>24.970701049999999</v>
      </c>
      <c r="N352">
        <v>2.492406286</v>
      </c>
      <c r="O352">
        <v>-0.19967047800000001</v>
      </c>
      <c r="P352">
        <v>0.76000751200000005</v>
      </c>
      <c r="Q352" t="s">
        <v>19</v>
      </c>
      <c r="R352" t="s">
        <v>20</v>
      </c>
      <c r="S352">
        <f>IF(R352="粉砂质泥岩",0,IF(R352="暗色泥岩",1,IF(R352="非均质砂岩",2,IF(R352="均质砂岩",3,IF(R352="黑色页岩",4,IF(R352="凝灰岩",5,""))))))</f>
        <v>1</v>
      </c>
    </row>
    <row r="353" spans="1:19" x14ac:dyDescent="0.2">
      <c r="A353" t="s">
        <v>34</v>
      </c>
      <c r="B353">
        <v>1688.8722</v>
      </c>
      <c r="C353">
        <v>1690.5117</v>
      </c>
      <c r="D353">
        <v>54.048648159999999</v>
      </c>
      <c r="E353">
        <v>2.6899729620000001</v>
      </c>
      <c r="F353">
        <v>111.24339790000001</v>
      </c>
      <c r="G353">
        <v>83.182883770000004</v>
      </c>
      <c r="H353">
        <v>55.718502379999997</v>
      </c>
      <c r="I353">
        <v>54.52852687</v>
      </c>
      <c r="J353">
        <v>58.183920239999999</v>
      </c>
      <c r="K353">
        <v>62.041259770000003</v>
      </c>
      <c r="L353">
        <v>233.82901000000001</v>
      </c>
      <c r="M353">
        <v>17.876339860000002</v>
      </c>
      <c r="N353">
        <v>2.5506411299999998</v>
      </c>
      <c r="O353">
        <v>-4.0792714000000001E-2</v>
      </c>
      <c r="P353">
        <v>0.30621699000000002</v>
      </c>
      <c r="Q353" t="s">
        <v>19</v>
      </c>
      <c r="R353" t="s">
        <v>21</v>
      </c>
      <c r="S353">
        <f>IF(R353="粉砂质泥岩",0,IF(R353="暗色泥岩",1,IF(R353="非均质砂岩",2,IF(R353="均质砂岩",3,IF(R353="黑色页岩",4,IF(R353="凝灰岩",5,""))))))</f>
        <v>2</v>
      </c>
    </row>
    <row r="354" spans="1:19" x14ac:dyDescent="0.2">
      <c r="A354" t="s">
        <v>34</v>
      </c>
      <c r="B354">
        <v>1690.5117</v>
      </c>
      <c r="C354">
        <v>1692.7879</v>
      </c>
      <c r="D354">
        <v>58.980102539999997</v>
      </c>
      <c r="E354">
        <v>2.8000962629999999</v>
      </c>
      <c r="F354">
        <v>147.9768852</v>
      </c>
      <c r="G354">
        <v>18.051929430000001</v>
      </c>
      <c r="H354">
        <v>20.509148159999999</v>
      </c>
      <c r="I354">
        <v>22.90065646</v>
      </c>
      <c r="J354">
        <v>26.18568707</v>
      </c>
      <c r="K354">
        <v>27.67652416</v>
      </c>
      <c r="L354">
        <v>242.49766289999999</v>
      </c>
      <c r="M354">
        <v>22.508253490000001</v>
      </c>
      <c r="N354">
        <v>2.3958461190000002</v>
      </c>
      <c r="O354">
        <v>-0.16787371300000001</v>
      </c>
      <c r="P354">
        <v>0.48988442399999998</v>
      </c>
      <c r="Q354" t="s">
        <v>19</v>
      </c>
      <c r="R354" t="s">
        <v>24</v>
      </c>
      <c r="S354">
        <f>IF(R354="粉砂质泥岩",0,IF(R354="暗色泥岩",1,IF(R354="非均质砂岩",2,IF(R354="均质砂岩",3,IF(R354="黑色页岩",4,IF(R354="凝灰岩",5,""))))))</f>
        <v>5</v>
      </c>
    </row>
    <row r="355" spans="1:19" x14ac:dyDescent="0.2">
      <c r="A355" t="s">
        <v>34</v>
      </c>
      <c r="B355">
        <v>1692.7879</v>
      </c>
      <c r="C355">
        <v>1702.7384999999999</v>
      </c>
      <c r="D355">
        <v>62.586633059999997</v>
      </c>
      <c r="E355">
        <v>2.7480023070000001</v>
      </c>
      <c r="F355">
        <v>99.383111099999994</v>
      </c>
      <c r="G355">
        <v>64.317363740000005</v>
      </c>
      <c r="H355">
        <v>55.577303049999998</v>
      </c>
      <c r="I355">
        <v>50.230104599999997</v>
      </c>
      <c r="J355">
        <v>48.628552540000001</v>
      </c>
      <c r="K355">
        <v>47.426076700000003</v>
      </c>
      <c r="L355">
        <v>224.24628559999999</v>
      </c>
      <c r="M355">
        <v>17.597704719999999</v>
      </c>
      <c r="N355">
        <v>2.5374680490000001</v>
      </c>
      <c r="O355">
        <v>7.3645799999999995E-4</v>
      </c>
      <c r="P355">
        <v>0.24691555500000001</v>
      </c>
      <c r="Q355" t="s">
        <v>19</v>
      </c>
      <c r="R355" t="s">
        <v>21</v>
      </c>
      <c r="S355">
        <f>IF(R355="粉砂质泥岩",0,IF(R355="暗色泥岩",1,IF(R355="非均质砂岩",2,IF(R355="均质砂岩",3,IF(R355="黑色页岩",4,IF(R355="凝灰岩",5,""))))))</f>
        <v>2</v>
      </c>
    </row>
    <row r="356" spans="1:19" x14ac:dyDescent="0.2">
      <c r="A356" t="s">
        <v>34</v>
      </c>
      <c r="B356">
        <v>1702.7384999999999</v>
      </c>
      <c r="C356">
        <v>1703.8485000000001</v>
      </c>
      <c r="D356">
        <v>73.899901069999999</v>
      </c>
      <c r="E356">
        <v>3.1154596809999999</v>
      </c>
      <c r="F356">
        <v>160.49586170000001</v>
      </c>
      <c r="G356">
        <v>88.338940940000001</v>
      </c>
      <c r="H356">
        <v>70.644793829999998</v>
      </c>
      <c r="I356">
        <v>63.886267029999999</v>
      </c>
      <c r="J356">
        <v>62.785067239999997</v>
      </c>
      <c r="K356">
        <v>61.184997879999997</v>
      </c>
      <c r="L356">
        <v>250.2503179</v>
      </c>
      <c r="M356">
        <v>26.75646893</v>
      </c>
      <c r="N356">
        <v>2.4596691329999998</v>
      </c>
      <c r="O356">
        <v>-0.13284570200000001</v>
      </c>
      <c r="P356">
        <v>0.552479304</v>
      </c>
      <c r="Q356" t="s">
        <v>19</v>
      </c>
      <c r="R356" t="s">
        <v>20</v>
      </c>
      <c r="S356">
        <f>IF(R356="粉砂质泥岩",0,IF(R356="暗色泥岩",1,IF(R356="非均质砂岩",2,IF(R356="均质砂岩",3,IF(R356="黑色页岩",4,IF(R356="凝灰岩",5,""))))))</f>
        <v>1</v>
      </c>
    </row>
    <row r="357" spans="1:19" x14ac:dyDescent="0.2">
      <c r="A357" t="s">
        <v>34</v>
      </c>
      <c r="B357">
        <v>1703.8485000000001</v>
      </c>
      <c r="C357">
        <v>1705.8585</v>
      </c>
      <c r="D357">
        <v>74.189373560000007</v>
      </c>
      <c r="E357">
        <v>2.5621660999999998</v>
      </c>
      <c r="F357">
        <v>164.6475169</v>
      </c>
      <c r="G357">
        <v>20.07142215</v>
      </c>
      <c r="H357">
        <v>17.03270247</v>
      </c>
      <c r="I357">
        <v>17.503436130000001</v>
      </c>
      <c r="J357">
        <v>18.292799309999999</v>
      </c>
      <c r="K357">
        <v>19.030767990000001</v>
      </c>
      <c r="L357">
        <v>267.85943889999999</v>
      </c>
      <c r="M357">
        <v>25.782850719999999</v>
      </c>
      <c r="N357">
        <v>2.416530802</v>
      </c>
      <c r="O357">
        <v>-0.21539694300000001</v>
      </c>
      <c r="P357">
        <v>0.573237577</v>
      </c>
      <c r="Q357" t="s">
        <v>19</v>
      </c>
      <c r="R357" t="s">
        <v>24</v>
      </c>
      <c r="S357">
        <f>IF(R357="粉砂质泥岩",0,IF(R357="暗色泥岩",1,IF(R357="非均质砂岩",2,IF(R357="均质砂岩",3,IF(R357="黑色页岩",4,IF(R357="凝灰岩",5,""))))))</f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saiwei sun</dc:creator>
  <cp:lastModifiedBy>saiwei sun</cp:lastModifiedBy>
  <dcterms:created xsi:type="dcterms:W3CDTF">2025-03-28T03:20:49Z</dcterms:created>
  <dcterms:modified xsi:type="dcterms:W3CDTF">2026-01-17T13:08:45Z</dcterms:modified>
</cp:coreProperties>
</file>